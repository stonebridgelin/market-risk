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样本汇总" sheetId="1" state="visible" r:id="rId3"/>
    <sheet name="原始数据" sheetId="2" state="visible" r:id="rId4"/>
    <sheet name="日期对照" sheetId="3" state="visible" r:id="rId5"/>
    <sheet name="样本4准备清单" sheetId="4" state="visible" r:id="rId6"/>
    <sheet name="变更记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<sst xmlns="http://schemas.openxmlformats.org/spreadsheetml/2006/main" count="301" uniqueCount="218">
  <si>
    <r>
      <rPr>
        <b val="true"/>
        <sz val="14"/>
        <rFont val="Noto Sans CJK SC"/>
        <family val="2"/>
      </rPr>
      <t xml:space="preserve">美股大盘风险评分 回测样本汇总（</t>
    </r>
    <r>
      <rPr>
        <b val="true"/>
        <sz val="14"/>
        <rFont val="Arial"/>
        <family val="0"/>
        <charset val="1"/>
      </rPr>
      <t xml:space="preserve">v2-M </t>
    </r>
    <r>
      <rPr>
        <b val="true"/>
        <sz val="14"/>
        <rFont val="Noto Sans CJK SC"/>
        <family val="2"/>
      </rPr>
      <t xml:space="preserve">与 </t>
    </r>
    <r>
      <rPr>
        <b val="true"/>
        <sz val="14"/>
        <rFont val="Arial"/>
        <family val="0"/>
        <charset val="1"/>
      </rPr>
      <t xml:space="preserve">v3-R1 </t>
    </r>
    <r>
      <rPr>
        <b val="true"/>
        <sz val="14"/>
        <rFont val="Noto Sans CJK SC"/>
        <family val="2"/>
      </rPr>
      <t xml:space="preserve">并行）</t>
    </r>
  </si>
  <si>
    <r>
      <rPr>
        <i val="true"/>
        <sz val="9"/>
        <rFont val="Noto Sans CJK SC"/>
        <family val="2"/>
      </rPr>
      <t xml:space="preserve">图例：蓝字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录入值（分数来自</t>
    </r>
    <r>
      <rPr>
        <i val="true"/>
        <sz val="9"/>
        <rFont val="Arial"/>
        <family val="0"/>
        <charset val="1"/>
      </rPr>
      <t xml:space="preserve">ChatGPT</t>
    </r>
    <r>
      <rPr>
        <i val="true"/>
        <sz val="9"/>
        <rFont val="Noto Sans CJK SC"/>
        <family val="2"/>
      </rPr>
      <t xml:space="preserve">打分并经</t>
    </r>
    <r>
      <rPr>
        <i val="true"/>
        <sz val="9"/>
        <rFont val="Arial"/>
        <family val="0"/>
        <charset val="1"/>
      </rPr>
      <t xml:space="preserve">Claude</t>
    </r>
    <r>
      <rPr>
        <i val="true"/>
        <sz val="9"/>
        <rFont val="Noto Sans CJK SC"/>
        <family val="2"/>
      </rPr>
      <t xml:space="preserve">核查）；黑字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公式；黄底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待填写。风险事件：基准日后</t>
    </r>
    <r>
      <rPr>
        <i val="true"/>
        <sz val="9"/>
        <rFont val="Arial"/>
        <family val="0"/>
        <charset val="1"/>
      </rPr>
      <t xml:space="preserve">20</t>
    </r>
    <r>
      <rPr>
        <i val="true"/>
        <sz val="9"/>
        <rFont val="Noto Sans CJK SC"/>
        <family val="2"/>
      </rPr>
      <t xml:space="preserve">个交易日内，标普</t>
    </r>
    <r>
      <rPr>
        <i val="true"/>
        <sz val="9"/>
        <rFont val="Arial"/>
        <family val="0"/>
        <charset val="1"/>
      </rPr>
      <t xml:space="preserve">500</t>
    </r>
    <r>
      <rPr>
        <i val="true"/>
        <sz val="9"/>
        <rFont val="Noto Sans CJK SC"/>
        <family val="2"/>
      </rPr>
      <t xml:space="preserve">最低收盘价跌幅≥</t>
    </r>
    <r>
      <rPr>
        <i val="true"/>
        <sz val="9"/>
        <rFont val="Arial"/>
        <family val="0"/>
        <charset val="1"/>
      </rPr>
      <t xml:space="preserve">5%</t>
    </r>
    <r>
      <rPr>
        <i val="true"/>
        <sz val="9"/>
        <rFont val="Noto Sans CJK SC"/>
        <family val="2"/>
      </rPr>
      <t xml:space="preserve">或</t>
    </r>
    <r>
      <rPr>
        <i val="true"/>
        <sz val="9"/>
        <rFont val="Arial"/>
        <family val="0"/>
        <charset val="1"/>
      </rPr>
      <t xml:space="preserve">QQQ≥7%</t>
    </r>
    <r>
      <rPr>
        <i val="true"/>
        <sz val="9"/>
        <rFont val="Noto Sans CJK SC"/>
        <family val="2"/>
      </rPr>
      <t xml:space="preserve">（只用收盘价，由用户自行核算，不告诉</t>
    </r>
    <r>
      <rPr>
        <i val="true"/>
        <sz val="9"/>
        <rFont val="Arial"/>
        <family val="0"/>
        <charset val="1"/>
      </rPr>
      <t xml:space="preserve">ChatGPT</t>
    </r>
    <r>
      <rPr>
        <i val="true"/>
        <sz val="9"/>
        <rFont val="Noto Sans CJK SC"/>
        <family val="2"/>
      </rPr>
      <t xml:space="preserve">）。</t>
    </r>
  </si>
  <si>
    <t xml:space="preserve">序号</t>
  </si>
  <si>
    <t xml:space="preserve">基准日</t>
  </si>
  <si>
    <t xml:space="preserve">星期</t>
  </si>
  <si>
    <t xml:space="preserve">状态</t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</si>
  <si>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价格</t>
    </r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</si>
  <si>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广度</t>
    </r>
  </si>
  <si>
    <t xml:space="preserve">v2-M VIX</t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</si>
  <si>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利率</t>
    </r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</si>
  <si>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信用</t>
    </r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</si>
  <si>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总分</t>
    </r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</si>
  <si>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阶段</t>
    </r>
  </si>
  <si>
    <r>
      <rPr>
        <b val="true"/>
        <sz val="10"/>
        <color rgb="FFFFFFFF"/>
        <rFont val="Arial"/>
        <family val="0"/>
        <charset val="1"/>
      </rPr>
      <t xml:space="preserve">v2-M </t>
    </r>
    <r>
      <rPr>
        <b val="true"/>
        <sz val="10"/>
        <color rgb="FFFFFFFF"/>
        <rFont val="Noto Sans CJK SC"/>
        <family val="2"/>
      </rPr>
      <t xml:space="preserve">明确恶化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</si>
  <si>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价格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</si>
  <si>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广度</t>
    </r>
  </si>
  <si>
    <t xml:space="preserve">v3-R1 VIX</t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</si>
  <si>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利率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</si>
  <si>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信用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</si>
  <si>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总分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</si>
  <si>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阶段</t>
    </r>
  </si>
  <si>
    <r>
      <rPr>
        <b val="true"/>
        <sz val="10"/>
        <color rgb="FFFFFFFF"/>
        <rFont val="Arial"/>
        <family val="0"/>
        <charset val="1"/>
      </rPr>
      <t xml:space="preserve">v3-R1 </t>
    </r>
    <r>
      <rPr>
        <b val="true"/>
        <sz val="10"/>
        <color rgb="FFFFFFFF"/>
        <rFont val="Noto Sans CJK SC"/>
        <family val="2"/>
      </rPr>
      <t xml:space="preserve">明确恶化</t>
    </r>
  </si>
  <si>
    <r>
      <rPr>
        <b val="true"/>
        <sz val="10"/>
        <color rgb="FFFFFFFF"/>
        <rFont val="Noto Sans CJK SC"/>
        <family val="2"/>
      </rPr>
      <t xml:space="preserve">预警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总分≥</t>
    </r>
    <r>
      <rPr>
        <b val="true"/>
        <sz val="10"/>
        <color rgb="FFFFFFFF"/>
        <rFont val="Arial"/>
        <family val="0"/>
        <charset val="1"/>
      </rPr>
      <t xml:space="preserve">3)</t>
    </r>
  </si>
  <si>
    <t xml:space="preserve">结果窗口</t>
  </si>
  <si>
    <r>
      <rPr>
        <b val="true"/>
        <sz val="10"/>
        <color rgb="FFFFFFFF"/>
        <rFont val="Noto Sans CJK SC"/>
        <family val="2"/>
      </rPr>
      <t xml:space="preserve">风险事件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是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否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</si>
  <si>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贴近门槛的读数</t>
  </si>
  <si>
    <r>
      <rPr>
        <b val="true"/>
        <sz val="10"/>
        <color rgb="FFFFFFFF"/>
        <rFont val="Arial"/>
        <family val="0"/>
        <charset val="1"/>
      </rPr>
      <t xml:space="preserve">Remark</t>
    </r>
    <r>
      <rPr>
        <b val="true"/>
        <sz val="10"/>
        <color rgb="FFFFFFFF"/>
        <rFont val="Noto Sans CJK SC"/>
        <family val="2"/>
      </rPr>
      <t xml:space="preserve">：参数变化与数据问题</t>
    </r>
  </si>
  <si>
    <r>
      <rPr>
        <b val="true"/>
        <sz val="10"/>
        <color rgb="FFFFFFFF"/>
        <rFont val="Arial"/>
        <family val="0"/>
        <charset val="1"/>
      </rPr>
      <t xml:space="preserve">ChatGPT</t>
    </r>
    <r>
      <rPr>
        <b val="true"/>
        <sz val="10"/>
        <color rgb="FFFFFFFF"/>
        <rFont val="Noto Sans CJK SC"/>
        <family val="2"/>
      </rPr>
      <t xml:space="preserve">会话</t>
    </r>
  </si>
  <si>
    <t xml:space="preserve">周五</t>
  </si>
  <si>
    <t xml:space="preserve">已完成</t>
  </si>
  <si>
    <r>
      <rPr>
        <sz val="10"/>
        <rFont val="Arial"/>
        <family val="0"/>
        <charset val="1"/>
      </rPr>
      <t xml:space="preserve">2025-09-02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2025-09-29</t>
    </r>
  </si>
  <si>
    <t xml:space="preserve">各维度离门槛较远</t>
  </si>
  <si>
    <r>
      <rPr>
        <sz val="10"/>
        <rFont val="Noto Sans CJK SC"/>
        <family val="2"/>
      </rPr>
      <t xml:space="preserve">首个样本。</t>
    </r>
    <r>
      <rPr>
        <sz val="10"/>
        <rFont val="Arial"/>
        <family val="0"/>
        <charset val="1"/>
      </rPr>
      <t xml:space="preserve">OAS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O6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08-21</t>
    </r>
    <r>
      <rPr>
        <sz val="10"/>
        <rFont val="Noto Sans CJK SC"/>
        <family val="2"/>
      </rPr>
      <t xml:space="preserve">）为截图目测约值</t>
    </r>
    <r>
      <rPr>
        <sz val="10"/>
        <rFont val="Arial"/>
        <family val="0"/>
        <charset val="1"/>
      </rPr>
      <t xml:space="preserve">2.95%</t>
    </r>
    <r>
      <rPr>
        <sz val="10"/>
        <rFont val="Noto Sans CJK SC"/>
        <family val="2"/>
      </rPr>
      <t xml:space="preserve">，非</t>
    </r>
    <r>
      <rPr>
        <sz val="10"/>
        <rFont val="Arial"/>
        <family val="0"/>
        <charset val="1"/>
      </rPr>
      <t xml:space="preserve">Observations</t>
    </r>
    <r>
      <rPr>
        <sz val="10"/>
        <rFont val="Noto Sans CJK SC"/>
        <family val="2"/>
      </rPr>
      <t xml:space="preserve">文字值；</t>
    </r>
    <r>
      <rPr>
        <sz val="10"/>
        <rFont val="Arial"/>
        <family val="0"/>
        <charset val="1"/>
      </rPr>
      <t xml:space="preserve">ΔOAS</t>
    </r>
    <r>
      <rPr>
        <sz val="10"/>
        <rFont val="Noto Sans CJK SC"/>
        <family val="2"/>
      </rPr>
      <t xml:space="preserve">约−</t>
    </r>
    <r>
      <rPr>
        <sz val="10"/>
        <rFont val="Arial"/>
        <family val="0"/>
        <charset val="1"/>
      </rPr>
      <t xml:space="preserve">20bp</t>
    </r>
    <r>
      <rPr>
        <sz val="10"/>
        <rFont val="Noto Sans CJK SC"/>
        <family val="2"/>
      </rPr>
      <t xml:space="preserve">。广度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日前读数、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收益率未记录（</t>
    </r>
    <r>
      <rPr>
        <sz val="10"/>
        <rFont val="Arial"/>
        <family val="0"/>
        <charset val="1"/>
      </rPr>
      <t xml:space="preserve">L≥50%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y&lt;H</t>
    </r>
    <r>
      <rPr>
        <sz val="10"/>
        <rFont val="Noto Sans CJK SC"/>
        <family val="2"/>
      </rPr>
      <t xml:space="preserve">，不影响结果）。</t>
    </r>
  </si>
  <si>
    <t xml:space="preserve">旧会话</t>
  </si>
  <si>
    <r>
      <rPr>
        <sz val="10"/>
        <rFont val="Arial"/>
        <family val="0"/>
        <charset val="1"/>
      </rPr>
      <t xml:space="preserve">2025-09-29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2025-10-24</t>
    </r>
  </si>
  <si>
    <r>
      <rPr>
        <sz val="10"/>
        <rFont val="Arial"/>
        <family val="0"/>
        <charset val="1"/>
      </rPr>
      <t xml:space="preserve">S5TW 51.09%</t>
    </r>
    <r>
      <rPr>
        <sz val="10"/>
        <rFont val="Noto Sans CJK SC"/>
        <family val="2"/>
      </rPr>
      <t xml:space="preserve">（贴近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ΔOAS</t>
    </r>
    <r>
      <rPr>
        <sz val="10"/>
        <rFont val="Noto Sans CJK SC"/>
        <family val="2"/>
      </rPr>
      <t xml:space="preserve">恰好</t>
    </r>
    <r>
      <rPr>
        <sz val="10"/>
        <rFont val="Arial"/>
        <family val="0"/>
        <charset val="1"/>
      </rPr>
      <t xml:space="preserve">+5bp</t>
    </r>
    <r>
      <rPr>
        <sz val="10"/>
        <rFont val="Noto Sans CJK SC"/>
        <family val="2"/>
      </rPr>
      <t xml:space="preserve">（等号边界按规则计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分）；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仅高于</t>
    </r>
    <r>
      <rPr>
        <sz val="10"/>
        <rFont val="Arial"/>
        <family val="0"/>
        <charset val="1"/>
      </rPr>
      <t xml:space="preserve">MA20 0.24</t>
    </r>
    <r>
      <rPr>
        <sz val="10"/>
        <rFont val="Noto Sans CJK SC"/>
        <family val="2"/>
      </rPr>
      <t xml:space="preserve">美元</t>
    </r>
  </si>
  <si>
    <r>
      <rPr>
        <sz val="10"/>
        <rFont val="Noto Sans CJK SC"/>
        <family val="2"/>
      </rPr>
      <t xml:space="preserve">较样本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S5TW 67.59%→51.09%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S5FI 63.22%→54.67%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ΔOAS</t>
    </r>
    <r>
      <rPr>
        <sz val="10"/>
        <rFont val="Noto Sans CJK SC"/>
        <family val="2"/>
      </rPr>
      <t xml:space="preserve">由约−</t>
    </r>
    <r>
      <rPr>
        <sz val="10"/>
        <rFont val="Arial"/>
        <family val="0"/>
        <charset val="1"/>
      </rPr>
      <t xml:space="preserve">20bp</t>
    </r>
    <r>
      <rPr>
        <sz val="10"/>
        <rFont val="Noto Sans CJK SC"/>
        <family val="2"/>
      </rPr>
      <t xml:space="preserve">转为</t>
    </r>
    <r>
      <rPr>
        <sz val="10"/>
        <rFont val="Arial"/>
        <family val="0"/>
        <charset val="1"/>
      </rPr>
      <t xml:space="preserve">+5bp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由高于</t>
    </r>
    <r>
      <rPr>
        <sz val="10"/>
        <rFont val="Arial"/>
        <family val="0"/>
        <charset val="1"/>
      </rPr>
      <t xml:space="preserve">MA20 2.63</t>
    </r>
    <r>
      <rPr>
        <sz val="10"/>
        <rFont val="Noto Sans CJK SC"/>
        <family val="2"/>
      </rPr>
      <t xml:space="preserve">美元降至</t>
    </r>
    <r>
      <rPr>
        <sz val="10"/>
        <rFont val="Arial"/>
        <family val="0"/>
        <charset val="1"/>
      </rPr>
      <t xml:space="preserve">0.24</t>
    </r>
    <r>
      <rPr>
        <sz val="10"/>
        <rFont val="Noto Sans CJK SC"/>
        <family val="2"/>
      </rPr>
      <t xml:space="preserve">美元。前一日（</t>
    </r>
    <r>
      <rPr>
        <sz val="10"/>
        <rFont val="Arial"/>
        <family val="0"/>
        <charset val="1"/>
      </rPr>
      <t xml:space="preserve">09-25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S5TW</t>
    </r>
    <r>
      <rPr>
        <sz val="10"/>
        <rFont val="Noto Sans CJK SC"/>
        <family val="2"/>
      </rPr>
      <t xml:space="preserve">为</t>
    </r>
    <r>
      <rPr>
        <sz val="10"/>
        <rFont val="Arial"/>
        <family val="0"/>
        <charset val="1"/>
      </rPr>
      <t xml:space="preserve">37.97%</t>
    </r>
    <r>
      <rPr>
        <sz val="10"/>
        <rFont val="Noto Sans CJK SC"/>
        <family val="2"/>
      </rPr>
      <t xml:space="preserve">，单日抽样有偶然性。</t>
    </r>
  </si>
  <si>
    <r>
      <rPr>
        <sz val="10"/>
        <rFont val="Arial"/>
        <family val="0"/>
        <charset val="1"/>
      </rPr>
      <t xml:space="preserve">2025-11-03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2025-12-01</t>
    </r>
  </si>
  <si>
    <r>
      <rPr>
        <sz val="10"/>
        <rFont val="Arial"/>
        <family val="0"/>
        <charset val="1"/>
      </rPr>
      <t xml:space="preserve">S5FI 40.15%</t>
    </r>
    <r>
      <rPr>
        <sz val="10"/>
        <rFont val="Noto Sans CJK SC"/>
        <family val="2"/>
      </rPr>
      <t xml:space="preserve">（贴近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低于</t>
    </r>
    <r>
      <rPr>
        <sz val="10"/>
        <rFont val="Arial"/>
        <family val="0"/>
        <charset val="1"/>
      </rPr>
      <t xml:space="preserve">MA50 0.99</t>
    </r>
    <r>
      <rPr>
        <sz val="10"/>
        <rFont val="Noto Sans CJK SC"/>
        <family val="2"/>
      </rPr>
      <t xml:space="preserve">美元但</t>
    </r>
    <r>
      <rPr>
        <sz val="10"/>
        <rFont val="Arial"/>
        <family val="0"/>
        <charset val="1"/>
      </rPr>
      <t xml:space="preserve">MA5</t>
    </r>
    <r>
      <rPr>
        <sz val="10"/>
        <rFont val="Noto Sans CJK SC"/>
        <family val="2"/>
      </rPr>
      <t xml:space="preserve">仍高于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VIX 17.44</t>
    </r>
    <r>
      <rPr>
        <sz val="10"/>
        <rFont val="Noto Sans CJK SC"/>
        <family val="2"/>
      </rPr>
      <t xml:space="preserve">（贴近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</si>
  <si>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首个预警样本。较样本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S5FI 54.67%→40.15%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S5TW 51.09%→38.56%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L&lt;40%</t>
    </r>
    <r>
      <rPr>
        <sz val="10"/>
        <rFont val="Noto Sans CJK SC"/>
        <family val="2"/>
      </rPr>
      <t xml:space="preserve">且均较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日前下降，广度升至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分）；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由高于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转为低于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（价格升至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分）；</t>
    </r>
    <r>
      <rPr>
        <sz val="10"/>
        <rFont val="Arial"/>
        <family val="0"/>
        <charset val="1"/>
      </rPr>
      <t xml:space="preserve">ΔOAS +5→−11bp</t>
    </r>
    <r>
      <rPr>
        <sz val="10"/>
        <rFont val="Noto Sans CJK SC"/>
        <family val="2"/>
      </rPr>
      <t xml:space="preserve">。三环节三只均不成立。数据修正：均线指标</t>
    </r>
    <r>
      <rPr>
        <sz val="10"/>
        <rFont val="Arial"/>
        <family val="0"/>
        <charset val="1"/>
      </rPr>
      <t xml:space="preserve">VMA→MA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OAS</t>
    </r>
    <r>
      <rPr>
        <sz val="10"/>
        <rFont val="Noto Sans CJK SC"/>
        <family val="2"/>
      </rPr>
      <t xml:space="preserve">图日期由</t>
    </r>
    <r>
      <rPr>
        <sz val="10"/>
        <rFont val="Arial"/>
        <family val="0"/>
        <charset val="1"/>
      </rPr>
      <t xml:space="preserve">10-24/10-31</t>
    </r>
    <r>
      <rPr>
        <sz val="10"/>
        <rFont val="Noto Sans CJK SC"/>
        <family val="2"/>
      </rPr>
      <t xml:space="preserve">改回</t>
    </r>
    <r>
      <rPr>
        <sz val="10"/>
        <rFont val="Arial"/>
        <family val="0"/>
        <charset val="1"/>
      </rPr>
      <t xml:space="preserve">10-30/10-23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VIX</t>
    </r>
    <r>
      <rPr>
        <sz val="10"/>
        <rFont val="Noto Sans CJK SC"/>
        <family val="2"/>
      </rPr>
      <t xml:space="preserve">由</t>
    </r>
    <r>
      <rPr>
        <sz val="10"/>
        <rFont val="Arial"/>
        <family val="0"/>
        <charset val="1"/>
      </rPr>
      <t xml:space="preserve">10-30</t>
    </r>
    <r>
      <rPr>
        <sz val="10"/>
        <rFont val="Noto Sans CJK SC"/>
        <family val="2"/>
      </rPr>
      <t xml:space="preserve">改为</t>
    </r>
    <r>
      <rPr>
        <sz val="10"/>
        <rFont val="Arial"/>
        <family val="0"/>
        <charset val="1"/>
      </rPr>
      <t xml:space="preserve">10-31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会话含旧的事后信息，已声明未影响评分。</t>
    </r>
  </si>
  <si>
    <t xml:space="preserve">旧会话（含事后信息）</t>
  </si>
  <si>
    <r>
      <rPr>
        <sz val="10"/>
        <rFont val="Arial"/>
        <family val="0"/>
        <charset val="1"/>
      </rPr>
      <t xml:space="preserve">2025-12-01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2025-12-29</t>
    </r>
  </si>
  <si>
    <r>
      <rPr>
        <sz val="10"/>
        <rFont val="Arial"/>
        <family val="0"/>
        <charset val="1"/>
      </rPr>
      <t xml:space="preserve">QQQ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MA5</t>
    </r>
    <r>
      <rPr>
        <sz val="10"/>
        <rFont val="Noto Sans CJK SC"/>
        <family val="2"/>
      </rPr>
      <t xml:space="preserve">已低于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1.21</t>
    </r>
    <r>
      <rPr>
        <sz val="10"/>
        <rFont val="Noto Sans CJK SC"/>
        <family val="2"/>
      </rPr>
      <t xml:space="preserve">），收盘仍高于</t>
    </r>
    <r>
      <rPr>
        <sz val="10"/>
        <rFont val="Arial"/>
        <family val="0"/>
        <charset val="1"/>
      </rPr>
      <t xml:space="preserve">MA50 10.51</t>
    </r>
    <r>
      <rPr>
        <sz val="10"/>
        <rFont val="Noto Sans CJK SC"/>
        <family val="2"/>
      </rPr>
      <t xml:space="preserve">美元；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MA5</t>
    </r>
    <r>
      <rPr>
        <sz val="10"/>
        <rFont val="Noto Sans CJK SC"/>
        <family val="2"/>
      </rPr>
      <t xml:space="preserve">仅高于</t>
    </r>
    <r>
      <rPr>
        <sz val="10"/>
        <rFont val="Arial"/>
        <family val="0"/>
        <charset val="1"/>
      </rPr>
      <t xml:space="preserve">MA50 0.21</t>
    </r>
    <r>
      <rPr>
        <sz val="10"/>
        <rFont val="Noto Sans CJK SC"/>
        <family val="2"/>
      </rPr>
      <t xml:space="preserve">美元</t>
    </r>
  </si>
  <si>
    <r>
      <rPr>
        <sz val="10"/>
        <rFont val="Noto Sans CJK SC"/>
        <family val="2"/>
      </rPr>
      <t xml:space="preserve">较样本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S5FI 40.15%→58.44%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S5TW 38.56%→76.73%</t>
    </r>
    <r>
      <rPr>
        <sz val="10"/>
        <rFont val="Noto Sans CJK SC"/>
        <family val="2"/>
      </rPr>
      <t xml:space="preserve">（广度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分→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分）；</t>
    </r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重新站上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（价格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分→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分）；</t>
    </r>
    <r>
      <rPr>
        <sz val="10"/>
        <rFont val="Arial"/>
        <family val="0"/>
        <charset val="1"/>
      </rPr>
      <t xml:space="preserve">VIX 17.44→16.35</t>
    </r>
    <r>
      <rPr>
        <sz val="10"/>
        <rFont val="Noto Sans CJK SC"/>
        <family val="2"/>
      </rPr>
      <t xml:space="preserve">，但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日前（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）高达</t>
    </r>
    <r>
      <rPr>
        <sz val="10"/>
        <rFont val="Arial"/>
        <family val="0"/>
        <charset val="1"/>
      </rPr>
      <t xml:space="preserve">26.42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ΔOAS −11→−17bp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O1</t>
    </r>
    <r>
      <rPr>
        <sz val="10"/>
        <rFont val="Noto Sans CJK SC"/>
        <family val="2"/>
      </rPr>
      <t xml:space="preserve">升至</t>
    </r>
    <r>
      <rPr>
        <sz val="10"/>
        <rFont val="Arial"/>
        <family val="0"/>
        <charset val="1"/>
      </rPr>
      <t xml:space="preserve">3.00%</t>
    </r>
    <r>
      <rPr>
        <sz val="10"/>
        <rFont val="Noto Sans CJK SC"/>
        <family val="2"/>
      </rPr>
      <t xml:space="preserve">。月中压力（</t>
    </r>
    <r>
      <rPr>
        <sz val="10"/>
        <rFont val="Arial"/>
        <family val="0"/>
        <charset val="1"/>
      </rPr>
      <t xml:space="preserve">11-17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三只</t>
    </r>
    <r>
      <rPr>
        <sz val="10"/>
        <rFont val="Arial"/>
        <family val="0"/>
        <charset val="1"/>
      </rPr>
      <t xml:space="preserve">ETF</t>
    </r>
    <r>
      <rPr>
        <sz val="10"/>
        <rFont val="Noto Sans CJK SC"/>
        <family val="2"/>
      </rPr>
      <t xml:space="preserve">均出现三环节第一步）到月末已修复，月末单日抽样未捕捉。三环节</t>
    </r>
    <r>
      <rPr>
        <sz val="10"/>
        <rFont val="Arial"/>
        <family val="0"/>
        <charset val="1"/>
      </rPr>
      <t xml:space="preserve">d1</t>
    </r>
    <r>
      <rPr>
        <sz val="10"/>
        <rFont val="Noto Sans CJK SC"/>
        <family val="2"/>
      </rPr>
      <t xml:space="preserve">候选包含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10-30</t>
    </r>
    <r>
      <rPr>
        <sz val="10"/>
        <rFont val="Noto Sans CJK SC"/>
        <family val="2"/>
      </rPr>
      <t xml:space="preserve">），与样本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口径不同，本样本结果不受影响。</t>
    </r>
    <r>
      <rPr>
        <sz val="10"/>
        <rFont val="Arial"/>
        <family val="0"/>
        <charset val="1"/>
      </rPr>
      <t xml:space="preserve">Tiger</t>
    </r>
    <r>
      <rPr>
        <sz val="10"/>
        <rFont val="Noto Sans CJK SC"/>
        <family val="2"/>
      </rPr>
      <t xml:space="preserve">价格确认为不复权。感恩节次日</t>
    </r>
    <r>
      <rPr>
        <sz val="10"/>
        <rFont val="Arial"/>
        <family val="0"/>
        <charset val="1"/>
      </rPr>
      <t xml:space="preserve">13:00</t>
    </r>
    <r>
      <rPr>
        <sz val="10"/>
        <rFont val="Noto Sans CJK SC"/>
        <family val="2"/>
      </rPr>
      <t xml:space="preserve">提前收盘。</t>
    </r>
  </si>
  <si>
    <t xml:space="preserve">新会话（搜索返回截点外内容，已排除）</t>
  </si>
  <si>
    <t xml:space="preserve">待做</t>
  </si>
  <si>
    <t xml:space="preserve">需重测</t>
  </si>
  <si>
    <r>
      <rPr>
        <sz val="10"/>
        <rFont val="Noto Sans CJK SC"/>
        <family val="2"/>
      </rPr>
      <t xml:space="preserve">需按新规则补</t>
    </r>
    <r>
      <rPr>
        <sz val="10"/>
        <rFont val="Arial"/>
        <family val="0"/>
        <charset val="1"/>
      </rPr>
      <t xml:space="preserve">MA5</t>
    </r>
    <r>
      <rPr>
        <sz val="10"/>
        <rFont val="Noto Sans CJK SC"/>
        <family val="2"/>
      </rPr>
      <t xml:space="preserve">重测</t>
    </r>
  </si>
  <si>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2026-09-28</t>
    </r>
  </si>
  <si>
    <r>
      <rPr>
        <sz val="10"/>
        <rFont val="Noto Sans CJK SC"/>
        <family val="2"/>
      </rPr>
      <t xml:space="preserve">标签需等到</t>
    </r>
    <r>
      <rPr>
        <sz val="10"/>
        <rFont val="Arial"/>
        <family val="0"/>
        <charset val="1"/>
      </rPr>
      <t xml:space="preserve">2026-09-28</t>
    </r>
    <r>
      <rPr>
        <sz val="10"/>
        <rFont val="Noto Sans CJK SC"/>
        <family val="2"/>
      </rPr>
      <t xml:space="preserve">收盘后</t>
    </r>
  </si>
  <si>
    <t xml:space="preserve">原始数据（每个样本一行）</t>
  </si>
  <si>
    <r>
      <rPr>
        <i val="true"/>
        <sz val="9"/>
        <rFont val="Noto Sans CJK SC"/>
        <family val="2"/>
      </rPr>
      <t xml:space="preserve">蓝字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录入值；灰底表头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公式计算列。百分比以小数存储（</t>
    </r>
    <r>
      <rPr>
        <i val="true"/>
        <sz val="9"/>
        <rFont val="Arial"/>
        <family val="0"/>
        <charset val="1"/>
      </rPr>
      <t xml:space="preserve">40.15%</t>
    </r>
    <r>
      <rPr>
        <i val="true"/>
        <sz val="9"/>
        <rFont val="Noto Sans CJK SC"/>
        <family val="2"/>
      </rPr>
      <t xml:space="preserve">存为</t>
    </r>
    <r>
      <rPr>
        <i val="true"/>
        <sz val="9"/>
        <rFont val="Arial"/>
        <family val="0"/>
        <charset val="1"/>
      </rPr>
      <t xml:space="preserve">0.4015</t>
    </r>
    <r>
      <rPr>
        <i val="true"/>
        <sz val="9"/>
        <rFont val="Noto Sans CJK SC"/>
        <family val="2"/>
      </rPr>
      <t xml:space="preserve">）。价格与均线在基准日十字光标处读取；</t>
    </r>
    <r>
      <rPr>
        <i val="true"/>
        <sz val="9"/>
        <rFont val="Arial"/>
        <family val="0"/>
        <charset val="1"/>
      </rPr>
      <t xml:space="preserve">VIX</t>
    </r>
    <r>
      <rPr>
        <i val="true"/>
        <sz val="9"/>
        <rFont val="Noto Sans CJK SC"/>
        <family val="2"/>
      </rPr>
      <t xml:space="preserve">、</t>
    </r>
    <r>
      <rPr>
        <i val="true"/>
        <sz val="9"/>
        <rFont val="Arial"/>
        <family val="0"/>
        <charset val="1"/>
      </rPr>
      <t xml:space="preserve">OAS</t>
    </r>
    <r>
      <rPr>
        <i val="true"/>
        <sz val="9"/>
        <rFont val="Noto Sans CJK SC"/>
        <family val="2"/>
      </rPr>
      <t xml:space="preserve">用</t>
    </r>
    <r>
      <rPr>
        <i val="true"/>
        <sz val="9"/>
        <rFont val="Arial"/>
        <family val="0"/>
        <charset val="1"/>
      </rPr>
      <t xml:space="preserve">FRED Observations</t>
    </r>
    <r>
      <rPr>
        <i val="true"/>
        <sz val="9"/>
        <rFont val="Noto Sans CJK SC"/>
        <family val="2"/>
      </rPr>
      <t xml:space="preserve">文字值；收益率用财政部官方值。</t>
    </r>
  </si>
  <si>
    <r>
      <rPr>
        <b val="true"/>
        <sz val="10"/>
        <color rgb="FFFFFFFF"/>
        <rFont val="Arial"/>
        <family val="0"/>
        <charset val="1"/>
      </rPr>
      <t xml:space="preserve">SPY</t>
    </r>
    <r>
      <rPr>
        <b val="true"/>
        <sz val="10"/>
        <color rgb="FFFFFFFF"/>
        <rFont val="Noto Sans CJK SC"/>
        <family val="2"/>
      </rPr>
      <t xml:space="preserve">收盘</t>
    </r>
  </si>
  <si>
    <t xml:space="preserve">SPY MA5</t>
  </si>
  <si>
    <t xml:space="preserve">SPY MA20</t>
  </si>
  <si>
    <t xml:space="preserve">SPY MA50</t>
  </si>
  <si>
    <t xml:space="preserve">SPY MA200</t>
  </si>
  <si>
    <r>
      <rPr>
        <b val="true"/>
        <sz val="10"/>
        <color rgb="FFFFFFFF"/>
        <rFont val="Arial"/>
        <family val="0"/>
        <charset val="1"/>
      </rPr>
      <t xml:space="preserve">QQQ</t>
    </r>
    <r>
      <rPr>
        <b val="true"/>
        <sz val="10"/>
        <color rgb="FFFFFFFF"/>
        <rFont val="Noto Sans CJK SC"/>
        <family val="2"/>
      </rPr>
      <t xml:space="preserve">收盘</t>
    </r>
  </si>
  <si>
    <t xml:space="preserve">QQQ MA5</t>
  </si>
  <si>
    <t xml:space="preserve">QQQ MA20</t>
  </si>
  <si>
    <t xml:space="preserve">QQQ MA50</t>
  </si>
  <si>
    <t xml:space="preserve">QQQ MA200</t>
  </si>
  <si>
    <r>
      <rPr>
        <b val="true"/>
        <sz val="10"/>
        <color rgb="FFFFFFFF"/>
        <rFont val="Arial"/>
        <family val="0"/>
        <charset val="1"/>
      </rPr>
      <t xml:space="preserve">RSP</t>
    </r>
    <r>
      <rPr>
        <b val="true"/>
        <sz val="10"/>
        <color rgb="FFFFFFFF"/>
        <rFont val="Noto Sans CJK SC"/>
        <family val="2"/>
      </rPr>
      <t xml:space="preserve">收盘</t>
    </r>
  </si>
  <si>
    <t xml:space="preserve">RSP MA5</t>
  </si>
  <si>
    <t xml:space="preserve">RSP MA20</t>
  </si>
  <si>
    <t xml:space="preserve">RSP MA50</t>
  </si>
  <si>
    <t xml:space="preserve">RSP MA200</t>
  </si>
  <si>
    <t xml:space="preserve">S5FI (F)</t>
  </si>
  <si>
    <t xml:space="preserve">S5TW (W)</t>
  </si>
  <si>
    <t xml:space="preserve">F5 (T−5)</t>
  </si>
  <si>
    <t xml:space="preserve">W5 (T−5)</t>
  </si>
  <si>
    <t xml:space="preserve">VIX (V)</t>
  </si>
  <si>
    <t xml:space="preserve">V5 (T−5)</t>
  </si>
  <si>
    <t xml:space="preserve">10Y y</t>
  </si>
  <si>
    <r>
      <rPr>
        <b val="true"/>
        <sz val="10"/>
        <color rgb="FFFFFFFF"/>
        <rFont val="Noto Sans CJK SC"/>
        <family val="2"/>
      </rPr>
      <t xml:space="preserve">窗口最高 </t>
    </r>
    <r>
      <rPr>
        <b val="true"/>
        <sz val="10"/>
        <color rgb="FFFFFFFF"/>
        <rFont val="Arial"/>
        <family val="0"/>
        <charset val="1"/>
      </rPr>
      <t xml:space="preserve">H</t>
    </r>
  </si>
  <si>
    <r>
      <rPr>
        <b val="true"/>
        <sz val="10"/>
        <color rgb="FFFFFFFF"/>
        <rFont val="Arial"/>
        <family val="0"/>
        <charset val="1"/>
      </rPr>
      <t xml:space="preserve">H</t>
    </r>
    <r>
      <rPr>
        <b val="true"/>
        <sz val="10"/>
        <color rgb="FFFFFFFF"/>
        <rFont val="Noto Sans CJK SC"/>
        <family val="2"/>
      </rPr>
      <t xml:space="preserve">日期</t>
    </r>
  </si>
  <si>
    <r>
      <rPr>
        <b val="true"/>
        <sz val="10"/>
        <color rgb="FFFFFFFF"/>
        <rFont val="Arial"/>
        <family val="0"/>
        <charset val="1"/>
      </rPr>
      <t xml:space="preserve">T−20</t>
    </r>
    <r>
      <rPr>
        <b val="true"/>
        <sz val="10"/>
        <color rgb="FFFFFFFF"/>
        <rFont val="Noto Sans CJK SC"/>
        <family val="2"/>
      </rPr>
      <t xml:space="preserve">的</t>
    </r>
    <r>
      <rPr>
        <b val="true"/>
        <sz val="10"/>
        <color rgb="FFFFFFFF"/>
        <rFont val="Arial"/>
        <family val="0"/>
        <charset val="1"/>
      </rPr>
      <t xml:space="preserve">y</t>
    </r>
  </si>
  <si>
    <r>
      <rPr>
        <b val="true"/>
        <sz val="10"/>
        <color rgb="FFFFFFFF"/>
        <rFont val="Arial"/>
        <family val="0"/>
        <charset val="1"/>
      </rPr>
      <t xml:space="preserve">O1</t>
    </r>
    <r>
      <rPr>
        <b val="true"/>
        <sz val="10"/>
        <color rgb="FFFFFFFF"/>
        <rFont val="Noto Sans CJK SC"/>
        <family val="2"/>
      </rPr>
      <t xml:space="preserve">日期</t>
    </r>
  </si>
  <si>
    <t xml:space="preserve">O1</t>
  </si>
  <si>
    <r>
      <rPr>
        <b val="true"/>
        <sz val="10"/>
        <color rgb="FFFFFFFF"/>
        <rFont val="Arial"/>
        <family val="0"/>
        <charset val="1"/>
      </rPr>
      <t xml:space="preserve">O6</t>
    </r>
    <r>
      <rPr>
        <b val="true"/>
        <sz val="10"/>
        <color rgb="FFFFFFFF"/>
        <rFont val="Noto Sans CJK SC"/>
        <family val="2"/>
      </rPr>
      <t xml:space="preserve">日期</t>
    </r>
  </si>
  <si>
    <t xml:space="preserve">O6</t>
  </si>
  <si>
    <t xml:space="preserve">HYG/LQD</t>
  </si>
  <si>
    <t xml:space="preserve">数据备注</t>
  </si>
  <si>
    <r>
      <rPr>
        <b val="true"/>
        <sz val="10"/>
        <color rgb="FFFFFFFF"/>
        <rFont val="Arial"/>
        <family val="0"/>
        <charset val="1"/>
      </rPr>
      <t xml:space="preserve">SPY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MA20</t>
    </r>
  </si>
  <si>
    <r>
      <rPr>
        <b val="true"/>
        <sz val="10"/>
        <color rgb="FFFFFFFF"/>
        <rFont val="Arial"/>
        <family val="0"/>
        <charset val="1"/>
      </rPr>
      <t xml:space="preserve">SPY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MA50</t>
    </r>
  </si>
  <si>
    <t xml:space="preserve">SPY MA5−MA50</t>
  </si>
  <si>
    <r>
      <rPr>
        <b val="true"/>
        <sz val="10"/>
        <color rgb="FFFFFFFF"/>
        <rFont val="Arial"/>
        <family val="0"/>
        <charset val="1"/>
      </rPr>
      <t xml:space="preserve">SPY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MA200</t>
    </r>
  </si>
  <si>
    <r>
      <rPr>
        <b val="true"/>
        <sz val="10"/>
        <color rgb="FFFFFFFF"/>
        <rFont val="Arial"/>
        <family val="0"/>
        <charset val="1"/>
      </rPr>
      <t xml:space="preserve">QQQ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MA20</t>
    </r>
  </si>
  <si>
    <r>
      <rPr>
        <b val="true"/>
        <sz val="10"/>
        <color rgb="FFFFFFFF"/>
        <rFont val="Arial"/>
        <family val="0"/>
        <charset val="1"/>
      </rPr>
      <t xml:space="preserve">QQQ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MA50</t>
    </r>
  </si>
  <si>
    <t xml:space="preserve">QQQ MA5−MA50</t>
  </si>
  <si>
    <r>
      <rPr>
        <b val="true"/>
        <sz val="10"/>
        <color rgb="FFFFFFFF"/>
        <rFont val="Arial"/>
        <family val="0"/>
        <charset val="1"/>
      </rPr>
      <t xml:space="preserve">RSP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MA20</t>
    </r>
  </si>
  <si>
    <r>
      <rPr>
        <b val="true"/>
        <sz val="10"/>
        <color rgb="FFFFFFFF"/>
        <rFont val="Arial"/>
        <family val="0"/>
        <charset val="1"/>
      </rPr>
      <t xml:space="preserve">RSP </t>
    </r>
    <r>
      <rPr>
        <b val="true"/>
        <sz val="10"/>
        <color rgb="FFFFFFFF"/>
        <rFont val="Noto Sans CJK SC"/>
        <family val="2"/>
      </rPr>
      <t xml:space="preserve">收盘−</t>
    </r>
    <r>
      <rPr>
        <b val="true"/>
        <sz val="10"/>
        <color rgb="FFFFFFFF"/>
        <rFont val="Arial"/>
        <family val="0"/>
        <charset val="1"/>
      </rPr>
      <t xml:space="preserve">MA50</t>
    </r>
  </si>
  <si>
    <t xml:space="preserve">RSP MA5−MA50</t>
  </si>
  <si>
    <t xml:space="preserve">L=min(F,W)</t>
  </si>
  <si>
    <r>
      <rPr>
        <b val="true"/>
        <sz val="10"/>
        <color rgb="FFFFFFFF"/>
        <rFont val="Arial"/>
        <family val="0"/>
        <charset val="1"/>
      </rPr>
      <t xml:space="preserve">F−F5 (</t>
    </r>
    <r>
      <rPr>
        <b val="true"/>
        <sz val="10"/>
        <color rgb="FFFFFFFF"/>
        <rFont val="Noto Sans CJK SC"/>
        <family val="2"/>
      </rPr>
      <t xml:space="preserve">百分点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</si>
  <si>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W−W5 (</t>
    </r>
    <r>
      <rPr>
        <b val="true"/>
        <sz val="10"/>
        <color rgb="FFFFFFFF"/>
        <rFont val="Noto Sans CJK SC"/>
        <family val="2"/>
      </rPr>
      <t xml:space="preserve">百分点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</si>
  <si>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VIX g</t>
  </si>
  <si>
    <t xml:space="preserve">y−H (bp)</t>
  </si>
  <si>
    <t xml:space="preserve">Δy (bp)</t>
  </si>
  <si>
    <t xml:space="preserve">ΔOAS (bp)</t>
  </si>
  <si>
    <r>
      <rPr>
        <sz val="10"/>
        <color rgb="FF0000FF"/>
        <rFont val="Arial"/>
        <family val="0"/>
        <charset val="1"/>
      </rPr>
      <t xml:space="preserve">O6</t>
    </r>
    <r>
      <rPr>
        <sz val="10"/>
        <color rgb="FF0000FF"/>
        <rFont val="Noto Sans CJK SC"/>
        <family val="2"/>
      </rPr>
      <t xml:space="preserve">为截图目测约值；</t>
    </r>
    <r>
      <rPr>
        <sz val="10"/>
        <color rgb="FF0000FF"/>
        <rFont val="Arial"/>
        <family val="0"/>
        <charset val="1"/>
      </rPr>
      <t xml:space="preserve">F5/W5</t>
    </r>
    <r>
      <rPr>
        <sz val="10"/>
        <color rgb="FF0000FF"/>
        <rFont val="Noto Sans CJK SC"/>
        <family val="2"/>
      </rPr>
      <t xml:space="preserve">未记录</t>
    </r>
  </si>
  <si>
    <r>
      <rPr>
        <sz val="10"/>
        <color rgb="FF0000FF"/>
        <rFont val="Noto Sans CJK SC"/>
        <family val="2"/>
      </rPr>
      <t xml:space="preserve">前一日</t>
    </r>
    <r>
      <rPr>
        <sz val="10"/>
        <color rgb="FF0000FF"/>
        <rFont val="Arial"/>
        <family val="0"/>
        <charset val="1"/>
      </rPr>
      <t xml:space="preserve">S5TW 37.97%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F5/W5</t>
    </r>
    <r>
      <rPr>
        <sz val="10"/>
        <color rgb="FF0000FF"/>
        <rFont val="Noto Sans CJK SC"/>
        <family val="2"/>
      </rPr>
      <t xml:space="preserve">未记录（</t>
    </r>
    <r>
      <rPr>
        <sz val="10"/>
        <color rgb="FF0000FF"/>
        <rFont val="Arial"/>
        <family val="0"/>
        <charset val="1"/>
      </rPr>
      <t xml:space="preserve">L≥50%</t>
    </r>
    <r>
      <rPr>
        <sz val="10"/>
        <color rgb="FF0000FF"/>
        <rFont val="Noto Sans CJK SC"/>
        <family val="2"/>
      </rPr>
      <t xml:space="preserve">不需要）</t>
    </r>
  </si>
  <si>
    <r>
      <rPr>
        <sz val="10"/>
        <color rgb="FF0000FF"/>
        <rFont val="Arial"/>
        <family val="0"/>
        <charset val="1"/>
      </rPr>
      <t xml:space="preserve">10-13</t>
    </r>
    <r>
      <rPr>
        <sz val="10"/>
        <color rgb="FF0000FF"/>
        <rFont val="Noto Sans CJK SC"/>
        <family val="2"/>
      </rPr>
      <t xml:space="preserve">债市休市，利率窗口</t>
    </r>
    <r>
      <rPr>
        <sz val="10"/>
        <color rgb="FF0000FF"/>
        <rFont val="Arial"/>
        <family val="0"/>
        <charset val="1"/>
      </rPr>
      <t xml:space="preserve">19</t>
    </r>
    <r>
      <rPr>
        <sz val="10"/>
        <color rgb="FF0000FF"/>
        <rFont val="Noto Sans CJK SC"/>
        <family val="2"/>
      </rPr>
      <t xml:space="preserve">个观测</t>
    </r>
  </si>
  <si>
    <r>
      <rPr>
        <sz val="10"/>
        <color rgb="FF0000FF"/>
        <rFont val="Arial"/>
        <family val="0"/>
        <charset val="1"/>
      </rPr>
      <t xml:space="preserve">11-11</t>
    </r>
    <r>
      <rPr>
        <sz val="10"/>
        <color rgb="FF0000FF"/>
        <rFont val="Noto Sans CJK SC"/>
        <family val="2"/>
      </rPr>
      <t xml:space="preserve">债市休市，利率窗口</t>
    </r>
    <r>
      <rPr>
        <sz val="10"/>
        <color rgb="FF0000FF"/>
        <rFont val="Arial"/>
        <family val="0"/>
        <charset val="1"/>
      </rPr>
      <t xml:space="preserve">19</t>
    </r>
    <r>
      <rPr>
        <sz val="10"/>
        <color rgb="FF0000FF"/>
        <rFont val="Noto Sans CJK SC"/>
        <family val="2"/>
      </rPr>
      <t xml:space="preserve">个观测；</t>
    </r>
    <r>
      <rPr>
        <sz val="10"/>
        <color rgb="FF0000FF"/>
        <rFont val="Arial"/>
        <family val="0"/>
        <charset val="1"/>
      </rPr>
      <t xml:space="preserve">F5/W5</t>
    </r>
    <r>
      <rPr>
        <sz val="10"/>
        <color rgb="FF0000FF"/>
        <rFont val="Noto Sans CJK SC"/>
        <family val="2"/>
      </rPr>
      <t xml:space="preserve">未记录（</t>
    </r>
    <r>
      <rPr>
        <sz val="10"/>
        <color rgb="FF0000FF"/>
        <rFont val="Arial"/>
        <family val="0"/>
        <charset val="1"/>
      </rPr>
      <t xml:space="preserve">L≥50%</t>
    </r>
    <r>
      <rPr>
        <sz val="10"/>
        <color rgb="FF0000FF"/>
        <rFont val="Noto Sans CJK SC"/>
        <family val="2"/>
      </rPr>
      <t xml:space="preserve">不需要）；价格为不复权</t>
    </r>
  </si>
  <si>
    <r>
      <rPr>
        <b val="true"/>
        <sz val="14"/>
        <rFont val="Noto Sans CJK SC"/>
        <family val="2"/>
      </rPr>
      <t xml:space="preserve">日期对照（按</t>
    </r>
    <r>
      <rPr>
        <b val="true"/>
        <sz val="14"/>
        <rFont val="Arial"/>
        <family val="0"/>
        <charset val="1"/>
      </rPr>
      <t xml:space="preserve">SOP</t>
    </r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节计算）</t>
    </r>
  </si>
  <si>
    <t xml:space="preserve">T−5</t>
  </si>
  <si>
    <t xml:space="preserve">T−20</t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</si>
  <si>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日窗口起</t>
    </r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</si>
  <si>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日窗口止</t>
    </r>
  </si>
  <si>
    <t xml:space="preserve">OAS O1</t>
  </si>
  <si>
    <r>
      <rPr>
        <b val="true"/>
        <sz val="10"/>
        <color rgb="FFFFFFFF"/>
        <rFont val="Arial"/>
        <family val="0"/>
        <charset val="1"/>
      </rPr>
      <t xml:space="preserve">OAS O6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v3-R1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</si>
  <si>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OAS O6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v2-M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</si>
  <si>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O1</t>
    </r>
    <r>
      <rPr>
        <b val="true"/>
        <sz val="10"/>
        <color rgb="FFFFFFFF"/>
        <rFont val="Noto Sans CJK SC"/>
        <family val="2"/>
      </rPr>
      <t xml:space="preserve">往前的债市营业日</t>
    </r>
  </si>
  <si>
    <r>
      <rPr>
        <b val="true"/>
        <sz val="10"/>
        <color rgb="FFFFFFFF"/>
        <rFont val="Noto Sans CJK SC"/>
        <family val="2"/>
      </rPr>
      <t xml:space="preserve">三环节查询起点</t>
    </r>
    <r>
      <rPr>
        <b val="true"/>
        <sz val="10"/>
        <color rgb="FFFFFFFF"/>
        <rFont val="Arial"/>
        <family val="0"/>
        <charset val="1"/>
      </rPr>
      <t xml:space="preserve">(T−45)</t>
    </r>
  </si>
  <si>
    <r>
      <rPr>
        <b val="true"/>
        <sz val="10"/>
        <color rgb="FFFFFFFF"/>
        <rFont val="Noto Sans CJK SC"/>
        <family val="2"/>
      </rPr>
      <t xml:space="preserve">休市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提前收盘</t>
    </r>
  </si>
  <si>
    <r>
      <rPr>
        <sz val="10"/>
        <rFont val="Arial"/>
        <family val="0"/>
        <charset val="1"/>
      </rPr>
      <t xml:space="preserve">08-27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08-26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08-25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08-22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08-21</t>
    </r>
  </si>
  <si>
    <t xml:space="preserve">窗口内无休市</t>
  </si>
  <si>
    <r>
      <rPr>
        <sz val="10"/>
        <rFont val="Arial"/>
        <family val="0"/>
        <charset val="1"/>
      </rPr>
      <t xml:space="preserve">09-24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09-23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09-22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09-19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09-18</t>
    </r>
  </si>
  <si>
    <r>
      <rPr>
        <sz val="10"/>
        <rFont val="Arial"/>
        <family val="0"/>
        <charset val="1"/>
      </rPr>
      <t xml:space="preserve">09-01</t>
    </r>
    <r>
      <rPr>
        <sz val="10"/>
        <rFont val="Noto Sans CJK SC"/>
        <family val="2"/>
      </rPr>
      <t xml:space="preserve">劳动节股债均休市（不计交易日）</t>
    </r>
  </si>
  <si>
    <r>
      <rPr>
        <sz val="10"/>
        <rFont val="Arial"/>
        <family val="0"/>
        <charset val="1"/>
      </rPr>
      <t xml:space="preserve">10-29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10-23</t>
    </r>
  </si>
  <si>
    <r>
      <rPr>
        <sz val="10"/>
        <rFont val="Arial"/>
        <family val="0"/>
        <charset val="1"/>
      </rPr>
      <t xml:space="preserve">10-13</t>
    </r>
    <r>
      <rPr>
        <sz val="10"/>
        <rFont val="Noto Sans CJK SC"/>
        <family val="2"/>
      </rPr>
      <t xml:space="preserve">哥伦布日：股市开、债市休</t>
    </r>
  </si>
  <si>
    <r>
      <rPr>
        <sz val="10"/>
        <rFont val="Arial"/>
        <family val="0"/>
        <charset val="1"/>
      </rPr>
      <t xml:space="preserve">11-25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11-19</t>
    </r>
  </si>
  <si>
    <r>
      <rPr>
        <sz val="10"/>
        <rFont val="Arial"/>
        <family val="0"/>
        <charset val="1"/>
      </rPr>
      <t xml:space="preserve">11-11</t>
    </r>
    <r>
      <rPr>
        <sz val="10"/>
        <rFont val="Noto Sans CJK SC"/>
        <family val="2"/>
      </rPr>
      <t xml:space="preserve">退伍军人节：股市开、债市休；</t>
    </r>
    <r>
      <rPr>
        <sz val="10"/>
        <rFont val="Arial"/>
        <family val="0"/>
        <charset val="1"/>
      </rPr>
      <t xml:space="preserve">11-27</t>
    </r>
    <r>
      <rPr>
        <sz val="10"/>
        <rFont val="Noto Sans CJK SC"/>
        <family val="2"/>
      </rPr>
      <t xml:space="preserve">感恩节全休；</t>
    </r>
    <r>
      <rPr>
        <sz val="10"/>
        <rFont val="Arial"/>
        <family val="0"/>
        <charset val="1"/>
      </rPr>
      <t xml:space="preserve">11-28</t>
    </r>
    <r>
      <rPr>
        <sz val="10"/>
        <rFont val="Noto Sans CJK SC"/>
        <family val="2"/>
      </rPr>
      <t xml:space="preserve">股市</t>
    </r>
    <r>
      <rPr>
        <sz val="10"/>
        <rFont val="Arial"/>
        <family val="0"/>
        <charset val="1"/>
      </rPr>
      <t xml:space="preserve">13:00</t>
    </r>
    <r>
      <rPr>
        <sz val="10"/>
        <rFont val="Noto Sans CJK SC"/>
        <family val="2"/>
      </rPr>
      <t xml:space="preserve">、债市</t>
    </r>
    <r>
      <rPr>
        <sz val="10"/>
        <rFont val="Arial"/>
        <family val="0"/>
        <charset val="1"/>
      </rPr>
      <t xml:space="preserve">14:00</t>
    </r>
    <r>
      <rPr>
        <sz val="10"/>
        <rFont val="Noto Sans CJK SC"/>
        <family val="2"/>
      </rPr>
      <t xml:space="preserve">提前收盘；</t>
    </r>
    <r>
      <rPr>
        <sz val="10"/>
        <rFont val="Arial"/>
        <family val="0"/>
        <charset val="1"/>
      </rPr>
      <t xml:space="preserve">12-25</t>
    </r>
    <r>
      <rPr>
        <sz val="10"/>
        <rFont val="Noto Sans CJK SC"/>
        <family val="2"/>
      </rPr>
      <t xml:space="preserve">圣诞节休市（结果窗口）</t>
    </r>
  </si>
  <si>
    <r>
      <rPr>
        <i val="true"/>
        <sz val="9"/>
        <rFont val="Noto Sans CJK SC"/>
        <family val="2"/>
      </rPr>
      <t xml:space="preserve">说明：</t>
    </r>
    <r>
      <rPr>
        <i val="true"/>
        <sz val="9"/>
        <rFont val="Arial"/>
        <family val="0"/>
        <charset val="1"/>
      </rPr>
      <t xml:space="preserve">O6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v2-M</t>
    </r>
    <r>
      <rPr>
        <i val="true"/>
        <sz val="9"/>
        <rFont val="Noto Sans CJK SC"/>
        <family val="2"/>
      </rPr>
      <t xml:space="preserve">）按</t>
    </r>
    <r>
      <rPr>
        <i val="true"/>
        <sz val="9"/>
        <rFont val="Arial"/>
        <family val="0"/>
        <charset val="1"/>
      </rPr>
      <t xml:space="preserve">FRED</t>
    </r>
    <r>
      <rPr>
        <i val="true"/>
        <sz val="9"/>
        <rFont val="Noto Sans CJK SC"/>
        <family val="2"/>
      </rPr>
      <t xml:space="preserve">所列观测顺序往前数，月末周末观测也计入；样本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至</t>
    </r>
    <r>
      <rPr>
        <i val="true"/>
        <sz val="9"/>
        <rFont val="Arial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的</t>
    </r>
    <r>
      <rPr>
        <i val="true"/>
        <sz val="9"/>
        <rFont val="Arial"/>
        <family val="0"/>
        <charset val="1"/>
      </rPr>
      <t xml:space="preserve">O1</t>
    </r>
    <r>
      <rPr>
        <i val="true"/>
        <sz val="9"/>
        <rFont val="Noto Sans CJK SC"/>
        <family val="2"/>
      </rPr>
      <t xml:space="preserve">与</t>
    </r>
    <r>
      <rPr>
        <i val="true"/>
        <sz val="9"/>
        <rFont val="Arial"/>
        <family val="0"/>
        <charset val="1"/>
      </rPr>
      <t xml:space="preserve">O6</t>
    </r>
    <r>
      <rPr>
        <i val="true"/>
        <sz val="9"/>
        <rFont val="Noto Sans CJK SC"/>
        <family val="2"/>
      </rPr>
      <t xml:space="preserve">之间都没有月末周末观测，所以两版</t>
    </r>
    <r>
      <rPr>
        <i val="true"/>
        <sz val="9"/>
        <rFont val="Arial"/>
        <family val="0"/>
        <charset val="1"/>
      </rPr>
      <t xml:space="preserve">O6</t>
    </r>
    <r>
      <rPr>
        <i val="true"/>
        <sz val="9"/>
        <rFont val="Noto Sans CJK SC"/>
        <family val="2"/>
      </rPr>
      <t xml:space="preserve">相同。若</t>
    </r>
    <r>
      <rPr>
        <i val="true"/>
        <sz val="9"/>
        <rFont val="Arial"/>
        <family val="0"/>
        <charset val="1"/>
      </rPr>
      <t xml:space="preserve">FRED</t>
    </r>
    <r>
      <rPr>
        <i val="true"/>
        <sz val="9"/>
        <rFont val="Noto Sans CJK SC"/>
        <family val="2"/>
      </rPr>
      <t xml:space="preserve">在节假日（如</t>
    </r>
    <r>
      <rPr>
        <i val="true"/>
        <sz val="9"/>
        <rFont val="Arial"/>
        <family val="0"/>
        <charset val="1"/>
      </rPr>
      <t xml:space="preserve">11-27</t>
    </r>
    <r>
      <rPr>
        <i val="true"/>
        <sz val="9"/>
        <rFont val="Noto Sans CJK SC"/>
        <family val="2"/>
      </rPr>
      <t xml:space="preserve">）出现观测，需重新核对。</t>
    </r>
  </si>
  <si>
    <r>
      <rPr>
        <b val="true"/>
        <sz val="14"/>
        <rFont val="Noto Sans CJK SC"/>
        <family val="2"/>
      </rPr>
      <t xml:space="preserve">样本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2025-11-28 </t>
    </r>
    <r>
      <rPr>
        <b val="true"/>
        <sz val="14"/>
        <rFont val="Noto Sans CJK SC"/>
        <family val="2"/>
      </rPr>
      <t xml:space="preserve">数据准备清单</t>
    </r>
  </si>
  <si>
    <t xml:space="preserve">#</t>
  </si>
  <si>
    <t xml:space="preserve">数据</t>
  </si>
  <si>
    <t xml:space="preserve">来源</t>
  </si>
  <si>
    <t xml:space="preserve">需要的日期</t>
  </si>
  <si>
    <t xml:space="preserve">读取内容</t>
  </si>
  <si>
    <t xml:space="preserve">注意事项</t>
  </si>
  <si>
    <r>
      <rPr>
        <sz val="10"/>
        <rFont val="Arial"/>
        <family val="0"/>
        <charset val="1"/>
      </rPr>
      <t xml:space="preserve">SPY</t>
    </r>
    <r>
      <rPr>
        <sz val="10"/>
        <rFont val="Noto Sans CJK SC"/>
        <family val="2"/>
      </rPr>
      <t xml:space="preserve">日线</t>
    </r>
  </si>
  <si>
    <t xml:space="preserve">Tiger</t>
  </si>
  <si>
    <t xml:space="preserve">2025-11-28</t>
  </si>
  <si>
    <r>
      <rPr>
        <sz val="10"/>
        <rFont val="Noto Sans CJK SC"/>
        <family val="2"/>
      </rPr>
      <t xml:space="preserve">收盘、</t>
    </r>
    <r>
      <rPr>
        <sz val="10"/>
        <rFont val="Arial"/>
        <family val="0"/>
        <charset val="1"/>
      </rPr>
      <t xml:space="preserve">MA5/MA20/MA50/MA200</t>
    </r>
  </si>
  <si>
    <r>
      <rPr>
        <sz val="10"/>
        <rFont val="Noto Sans CJK SC"/>
        <family val="2"/>
      </rPr>
      <t xml:space="preserve">主图指标必须是</t>
    </r>
    <r>
      <rPr>
        <sz val="10"/>
        <rFont val="Arial"/>
        <family val="0"/>
        <charset val="1"/>
      </rPr>
      <t xml:space="preserve">MA</t>
    </r>
    <r>
      <rPr>
        <sz val="10"/>
        <rFont val="Noto Sans CJK SC"/>
        <family val="2"/>
      </rPr>
      <t xml:space="preserve">（不是</t>
    </r>
    <r>
      <rPr>
        <sz val="10"/>
        <rFont val="Arial"/>
        <family val="0"/>
        <charset val="1"/>
      </rPr>
      <t xml:space="preserve">VMA</t>
    </r>
    <r>
      <rPr>
        <sz val="10"/>
        <rFont val="Noto Sans CJK SC"/>
        <family val="2"/>
      </rPr>
      <t xml:space="preserve">）；十字光标在</t>
    </r>
    <r>
      <rPr>
        <sz val="10"/>
        <rFont val="Arial"/>
        <family val="0"/>
        <charset val="1"/>
      </rPr>
      <t xml:space="preserve">11-28</t>
    </r>
    <r>
      <rPr>
        <sz val="10"/>
        <rFont val="Noto Sans CJK SC"/>
        <family val="2"/>
      </rPr>
      <t xml:space="preserve">；该日</t>
    </r>
    <r>
      <rPr>
        <sz val="10"/>
        <rFont val="Arial"/>
        <family val="0"/>
        <charset val="1"/>
      </rPr>
      <t xml:space="preserve">13:00</t>
    </r>
    <r>
      <rPr>
        <sz val="10"/>
        <rFont val="Noto Sans CJK SC"/>
        <family val="2"/>
      </rPr>
      <t xml:space="preserve">提前收盘</t>
    </r>
  </si>
  <si>
    <r>
      <rPr>
        <sz val="10"/>
        <rFont val="Arial"/>
        <family val="0"/>
        <charset val="1"/>
      </rPr>
      <t xml:space="preserve">QQQ</t>
    </r>
    <r>
      <rPr>
        <sz val="10"/>
        <rFont val="Noto Sans CJK SC"/>
        <family val="2"/>
      </rPr>
      <t xml:space="preserve">日线</t>
    </r>
  </si>
  <si>
    <t xml:space="preserve">同上</t>
  </si>
  <si>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日线</t>
    </r>
  </si>
  <si>
    <r>
      <rPr>
        <sz val="10"/>
        <rFont val="Arial"/>
        <family val="0"/>
        <charset val="1"/>
      </rPr>
      <t xml:space="preserve">SPY</t>
    </r>
    <r>
      <rPr>
        <sz val="10"/>
        <rFont val="Noto Sans CJK SC"/>
        <family val="2"/>
      </rPr>
      <t xml:space="preserve">周线</t>
    </r>
  </si>
  <si>
    <r>
      <rPr>
        <sz val="10"/>
        <rFont val="Arial"/>
        <family val="0"/>
        <charset val="1"/>
      </rPr>
      <t xml:space="preserve">2025-11-24</t>
    </r>
    <r>
      <rPr>
        <sz val="10"/>
        <rFont val="Noto Sans CJK SC"/>
        <family val="2"/>
      </rPr>
      <t xml:space="preserve">那一周</t>
    </r>
  </si>
  <si>
    <t xml:space="preserve">仅作参考</t>
  </si>
  <si>
    <r>
      <rPr>
        <sz val="10"/>
        <rFont val="Noto Sans CJK SC"/>
        <family val="2"/>
      </rPr>
      <t xml:space="preserve">周线日期显示周起始日</t>
    </r>
    <r>
      <rPr>
        <sz val="10"/>
        <rFont val="Arial"/>
        <family val="0"/>
        <charset val="1"/>
      </rPr>
      <t xml:space="preserve">11-24</t>
    </r>
    <r>
      <rPr>
        <sz val="10"/>
        <rFont val="Noto Sans CJK SC"/>
        <family val="2"/>
      </rPr>
      <t xml:space="preserve">，属正常；指标用</t>
    </r>
    <r>
      <rPr>
        <sz val="10"/>
        <rFont val="Arial"/>
        <family val="0"/>
        <charset val="1"/>
      </rPr>
      <t xml:space="preserve">MA</t>
    </r>
  </si>
  <si>
    <r>
      <rPr>
        <sz val="10"/>
        <rFont val="Arial"/>
        <family val="0"/>
        <charset val="1"/>
      </rPr>
      <t xml:space="preserve">QQQ</t>
    </r>
    <r>
      <rPr>
        <sz val="10"/>
        <rFont val="Noto Sans CJK SC"/>
        <family val="2"/>
      </rPr>
      <t xml:space="preserve">周线</t>
    </r>
  </si>
  <si>
    <t xml:space="preserve">S5FI</t>
  </si>
  <si>
    <t xml:space="preserve">TradingView</t>
  </si>
  <si>
    <r>
      <rPr>
        <sz val="10"/>
        <rFont val="Arial"/>
        <family val="0"/>
        <charset val="1"/>
      </rPr>
      <t xml:space="preserve">2025-11-28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2025-11-20</t>
    </r>
  </si>
  <si>
    <r>
      <rPr>
        <sz val="10"/>
        <rFont val="Noto Sans CJK SC"/>
        <family val="2"/>
      </rPr>
      <t xml:space="preserve">两天的顶部“收</t>
    </r>
    <r>
      <rPr>
        <sz val="10"/>
        <rFont val="Arial"/>
        <family val="0"/>
        <charset val="1"/>
      </rPr>
      <t xml:space="preserve">=”</t>
    </r>
    <r>
      <rPr>
        <sz val="10"/>
        <rFont val="Noto Sans CJK SC"/>
        <family val="2"/>
      </rPr>
      <t xml:space="preserve">数值</t>
    </r>
  </si>
  <si>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的读数截图或记下文字即可；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截图不发给</t>
    </r>
    <r>
      <rPr>
        <sz val="10"/>
        <rFont val="Arial"/>
        <family val="0"/>
        <charset val="1"/>
      </rPr>
      <t xml:space="preserve">ChatGPT</t>
    </r>
  </si>
  <si>
    <t xml:space="preserve">S5TW</t>
  </si>
  <si>
    <t xml:space="preserve">VIX</t>
  </si>
  <si>
    <t xml:space="preserve">FRED VIXCLS</t>
  </si>
  <si>
    <r>
      <rPr>
        <sz val="10"/>
        <rFont val="Arial"/>
        <family val="0"/>
        <charset val="1"/>
      </rPr>
      <t xml:space="preserve">Observations</t>
    </r>
    <r>
      <rPr>
        <sz val="10"/>
        <rFont val="Noto Sans CJK SC"/>
        <family val="2"/>
      </rPr>
      <t xml:space="preserve">文字值</t>
    </r>
  </si>
  <si>
    <r>
      <rPr>
        <sz val="10"/>
        <rFont val="Noto Sans CJK SC"/>
        <family val="2"/>
      </rPr>
      <t xml:space="preserve">结束日期分别设为</t>
    </r>
    <r>
      <rPr>
        <sz val="10"/>
        <rFont val="Arial"/>
        <family val="0"/>
        <charset val="1"/>
      </rPr>
      <t xml:space="preserve">11-28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；确认</t>
    </r>
    <r>
      <rPr>
        <sz val="10"/>
        <rFont val="Arial"/>
        <family val="0"/>
        <charset val="1"/>
      </rPr>
      <t xml:space="preserve">Observations</t>
    </r>
    <r>
      <rPr>
        <sz val="10"/>
        <rFont val="Noto Sans CJK SC"/>
        <family val="2"/>
      </rPr>
      <t xml:space="preserve">显示的日期正确；</t>
    </r>
    <r>
      <rPr>
        <sz val="10"/>
        <rFont val="Arial"/>
        <family val="0"/>
        <charset val="1"/>
      </rPr>
      <t xml:space="preserve">VIX</t>
    </r>
    <r>
      <rPr>
        <sz val="10"/>
        <rFont val="Noto Sans CJK SC"/>
        <family val="2"/>
      </rPr>
      <t xml:space="preserve">图不发给</t>
    </r>
    <r>
      <rPr>
        <sz val="10"/>
        <rFont val="Arial"/>
        <family val="0"/>
        <charset val="1"/>
      </rPr>
      <t xml:space="preserve">ChatGPT</t>
    </r>
  </si>
  <si>
    <t xml:space="preserve">FRED BAMLH0A0HYM2</t>
  </si>
  <si>
    <r>
      <rPr>
        <sz val="10"/>
        <rFont val="Arial"/>
        <family val="0"/>
        <charset val="1"/>
      </rPr>
      <t xml:space="preserve">2025-11-26</t>
    </r>
    <r>
      <rPr>
        <sz val="10"/>
        <rFont val="Noto Sans CJK SC"/>
        <family val="2"/>
      </rPr>
      <t xml:space="preserve">（周三）</t>
    </r>
  </si>
  <si>
    <r>
      <rPr>
        <sz val="10"/>
        <rFont val="Noto Sans CJK SC"/>
        <family val="2"/>
      </rPr>
      <t xml:space="preserve">不是</t>
    </r>
    <r>
      <rPr>
        <sz val="10"/>
        <rFont val="Arial"/>
        <family val="0"/>
        <charset val="1"/>
      </rPr>
      <t xml:space="preserve">11-28</t>
    </r>
    <r>
      <rPr>
        <sz val="10"/>
        <rFont val="Noto Sans CJK SC"/>
        <family val="2"/>
      </rPr>
      <t xml:space="preserve">，也不是</t>
    </r>
    <r>
      <rPr>
        <sz val="10"/>
        <rFont val="Arial"/>
        <family val="0"/>
        <charset val="1"/>
      </rPr>
      <t xml:space="preserve">11-27</t>
    </r>
    <r>
      <rPr>
        <sz val="10"/>
        <rFont val="Noto Sans CJK SC"/>
        <family val="2"/>
      </rPr>
      <t xml:space="preserve">（感恩节无观测）；</t>
    </r>
    <r>
      <rPr>
        <sz val="10"/>
        <rFont val="Arial"/>
        <family val="0"/>
        <charset val="1"/>
      </rPr>
      <t xml:space="preserve">11-28</t>
    </r>
    <r>
      <rPr>
        <sz val="10"/>
        <rFont val="Noto Sans CJK SC"/>
        <family val="2"/>
      </rPr>
      <t xml:space="preserve">的观测在基准日</t>
    </r>
    <r>
      <rPr>
        <sz val="10"/>
        <rFont val="Arial"/>
        <family val="0"/>
        <charset val="1"/>
      </rPr>
      <t xml:space="preserve">18:30</t>
    </r>
    <r>
      <rPr>
        <sz val="10"/>
        <rFont val="Noto Sans CJK SC"/>
        <family val="2"/>
      </rPr>
      <t xml:space="preserve">时尚未发布，属未来信息</t>
    </r>
  </si>
  <si>
    <t xml:space="preserve">OAS O6</t>
  </si>
  <si>
    <r>
      <rPr>
        <sz val="10"/>
        <rFont val="Arial"/>
        <family val="0"/>
        <charset val="1"/>
      </rPr>
      <t xml:space="preserve">2025-11-19</t>
    </r>
    <r>
      <rPr>
        <sz val="10"/>
        <rFont val="Noto Sans CJK SC"/>
        <family val="2"/>
      </rPr>
      <t xml:space="preserve">（周三）</t>
    </r>
  </si>
  <si>
    <r>
      <rPr>
        <sz val="10"/>
        <rFont val="Arial"/>
        <family val="0"/>
        <charset val="1"/>
      </rPr>
      <t xml:space="preserve">O1</t>
    </r>
    <r>
      <rPr>
        <sz val="10"/>
        <rFont val="Noto Sans CJK SC"/>
        <family val="2"/>
      </rPr>
      <t xml:space="preserve">为</t>
    </r>
    <r>
      <rPr>
        <sz val="10"/>
        <rFont val="Arial"/>
        <family val="0"/>
        <charset val="1"/>
      </rPr>
      <t xml:space="preserve">11-26</t>
    </r>
    <r>
      <rPr>
        <sz val="10"/>
        <rFont val="Noto Sans CJK SC"/>
        <family val="2"/>
      </rPr>
      <t xml:space="preserve">；往前数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个债市营业日：</t>
    </r>
    <r>
      <rPr>
        <sz val="10"/>
        <rFont val="Arial"/>
        <family val="0"/>
        <charset val="1"/>
      </rPr>
      <t xml:space="preserve">11-25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11-20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11-19</t>
    </r>
    <r>
      <rPr>
        <sz val="10"/>
        <rFont val="Noto Sans CJK SC"/>
        <family val="2"/>
      </rPr>
      <t xml:space="preserve">。若</t>
    </r>
    <r>
      <rPr>
        <sz val="10"/>
        <rFont val="Arial"/>
        <family val="0"/>
        <charset val="1"/>
      </rPr>
      <t xml:space="preserve">O1≥4.00%</t>
    </r>
    <r>
      <rPr>
        <sz val="10"/>
        <rFont val="Noto Sans CJK SC"/>
        <family val="2"/>
      </rPr>
      <t xml:space="preserve">则不需要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</si>
  <si>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年期收益率</t>
    </r>
  </si>
  <si>
    <r>
      <rPr>
        <sz val="10"/>
        <rFont val="Noto Sans CJK SC"/>
        <family val="2"/>
      </rPr>
      <t xml:space="preserve">财政部（</t>
    </r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已补齐）</t>
    </r>
  </si>
  <si>
    <r>
      <rPr>
        <sz val="10"/>
        <rFont val="Arial"/>
        <family val="0"/>
        <charset val="1"/>
      </rPr>
      <t xml:space="preserve">2025-10-30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2025-11-28</t>
    </r>
  </si>
  <si>
    <t xml:space="preserve">无需截图</t>
  </si>
  <si>
    <r>
      <rPr>
        <sz val="10"/>
        <rFont val="Arial"/>
        <family val="0"/>
        <charset val="1"/>
      </rPr>
      <t xml:space="preserve">y=4.02%</t>
    </r>
    <r>
      <rPr>
        <sz val="10"/>
        <rFont val="Noto Sans CJK SC"/>
        <family val="2"/>
      </rPr>
      <t xml:space="preserve">；窗口最高</t>
    </r>
    <r>
      <rPr>
        <sz val="10"/>
        <rFont val="Arial"/>
        <family val="0"/>
        <charset val="1"/>
      </rPr>
      <t xml:space="preserve">4.17%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11-05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10-30</t>
    </r>
    <r>
      <rPr>
        <sz val="10"/>
        <rFont val="Noto Sans CJK SC"/>
        <family val="2"/>
      </rPr>
      <t xml:space="preserve">）为</t>
    </r>
    <r>
      <rPr>
        <sz val="10"/>
        <rFont val="Arial"/>
        <family val="0"/>
        <charset val="1"/>
      </rPr>
      <t xml:space="preserve">4.11%</t>
    </r>
  </si>
  <si>
    <t xml:space="preserve">US10Y</t>
  </si>
  <si>
    <t xml:space="preserve">可选</t>
  </si>
  <si>
    <t xml:space="preserve">可选；右侧后续成交量柱、最新值标签属未来信息，建议裁掉</t>
  </si>
  <si>
    <r>
      <rPr>
        <sz val="10"/>
        <rFont val="Arial"/>
        <family val="0"/>
        <charset val="1"/>
      </rPr>
      <t xml:space="preserve">SPY 20</t>
    </r>
    <r>
      <rPr>
        <sz val="10"/>
        <rFont val="Noto Sans CJK SC"/>
        <family val="2"/>
      </rPr>
      <t xml:space="preserve">日最高收盘价</t>
    </r>
  </si>
  <si>
    <r>
      <rPr>
        <sz val="10"/>
        <rFont val="Arial"/>
        <family val="0"/>
        <charset val="1"/>
      </rPr>
      <t xml:space="preserve">2025-10-31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2025-11-28</t>
    </r>
  </si>
  <si>
    <t xml:space="preserve">最高收盘价</t>
  </si>
  <si>
    <r>
      <rPr>
        <sz val="10"/>
        <rFont val="Noto Sans CJK SC"/>
        <family val="2"/>
      </rPr>
      <t xml:space="preserve">仅在</t>
    </r>
    <r>
      <rPr>
        <sz val="10"/>
        <rFont val="Arial"/>
        <family val="0"/>
        <charset val="1"/>
      </rPr>
      <t xml:space="preserve">S5FI&lt;40%</t>
    </r>
    <r>
      <rPr>
        <sz val="10"/>
        <rFont val="Noto Sans CJK SC"/>
        <family val="2"/>
      </rPr>
      <t xml:space="preserve">时需要；可由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查询</t>
    </r>
  </si>
  <si>
    <t xml:space="preserve">规则、流程与数据修正记录</t>
  </si>
  <si>
    <t xml:space="preserve">日期</t>
  </si>
  <si>
    <t xml:space="preserve">涉及样本</t>
  </si>
  <si>
    <t xml:space="preserve">类别</t>
  </si>
  <si>
    <t xml:space="preserve">内容</t>
  </si>
  <si>
    <t xml:space="preserve">影响</t>
  </si>
  <si>
    <t xml:space="preserve">2026-09-26</t>
  </si>
  <si>
    <t xml:space="preserve">全部</t>
  </si>
  <si>
    <t xml:space="preserve">时点口径</t>
  </si>
  <si>
    <r>
      <rPr>
        <sz val="10"/>
        <rFont val="Noto Sans CJK SC"/>
        <family val="2"/>
      </rPr>
      <t xml:space="preserve">分析时点改为基准日美东</t>
    </r>
    <r>
      <rPr>
        <sz val="10"/>
        <rFont val="Arial"/>
        <family val="0"/>
        <charset val="1"/>
      </rPr>
      <t xml:space="preserve">18:30</t>
    </r>
    <r>
      <rPr>
        <sz val="10"/>
        <rFont val="Noto Sans CJK SC"/>
        <family val="2"/>
      </rPr>
      <t xml:space="preserve">收盘后（原为</t>
    </r>
    <r>
      <rPr>
        <sz val="10"/>
        <rFont val="Arial"/>
        <family val="0"/>
        <charset val="1"/>
      </rPr>
      <t xml:space="preserve">16:00 ET</t>
    </r>
    <r>
      <rPr>
        <sz val="10"/>
        <rFont val="Noto Sans CJK SC"/>
        <family val="2"/>
      </rPr>
      <t xml:space="preserve">已可得）</t>
    </r>
  </si>
  <si>
    <r>
      <rPr>
        <sz val="10"/>
        <rFont val="Arial"/>
        <family val="0"/>
        <charset val="1"/>
      </rPr>
      <t xml:space="preserve">VIX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16:00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16:15</t>
    </r>
    <r>
      <rPr>
        <sz val="10"/>
        <rFont val="Noto Sans CJK SC"/>
        <family val="2"/>
      </rPr>
      <t xml:space="preserve">信息；利率用财政部当日官方值</t>
    </r>
  </si>
  <si>
    <t xml:space="preserve">规则</t>
  </si>
  <si>
    <r>
      <rPr>
        <sz val="10"/>
        <rFont val="Noto Sans CJK SC"/>
        <family val="2"/>
      </rPr>
      <t xml:space="preserve">历史回测与日常使用同时计算</t>
    </r>
    <r>
      <rPr>
        <sz val="10"/>
        <rFont val="Arial"/>
        <family val="0"/>
        <charset val="1"/>
      </rPr>
      <t xml:space="preserve">v2-M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v3-R1</t>
    </r>
    <r>
      <rPr>
        <sz val="10"/>
        <rFont val="Noto Sans CJK SC"/>
        <family val="2"/>
      </rPr>
      <t xml:space="preserve">，暂不宣布替换</t>
    </r>
  </si>
  <si>
    <t xml:space="preserve">积累对比样本</t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</si>
  <si>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3</t>
    </r>
  </si>
  <si>
    <t xml:space="preserve">数据修正</t>
  </si>
  <si>
    <r>
      <rPr>
        <sz val="10"/>
        <rFont val="Arial"/>
        <family val="0"/>
        <charset val="1"/>
      </rPr>
      <t xml:space="preserve">Tiger</t>
    </r>
    <r>
      <rPr>
        <sz val="10"/>
        <rFont val="Noto Sans CJK SC"/>
        <family val="2"/>
      </rPr>
      <t xml:space="preserve">个股图主图指标为</t>
    </r>
    <r>
      <rPr>
        <sz val="10"/>
        <rFont val="Arial"/>
        <family val="0"/>
        <charset val="1"/>
      </rPr>
      <t xml:space="preserve">VMA</t>
    </r>
    <r>
      <rPr>
        <sz val="10"/>
        <rFont val="Noto Sans CJK SC"/>
        <family val="2"/>
      </rPr>
      <t xml:space="preserve">（非简单均线，周期未标注），改为</t>
    </r>
    <r>
      <rPr>
        <sz val="10"/>
        <rFont val="Arial"/>
        <family val="0"/>
        <charset val="1"/>
      </rPr>
      <t xml:space="preserve">MA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5/10/20/30/50/200</t>
    </r>
    <r>
      <rPr>
        <sz val="10"/>
        <rFont val="Noto Sans CJK SC"/>
        <family val="2"/>
      </rPr>
      <t xml:space="preserve">）重新截图</t>
    </r>
  </si>
  <si>
    <r>
      <rPr>
        <sz val="10"/>
        <rFont val="Arial"/>
        <family val="0"/>
        <charset val="1"/>
      </rPr>
      <t xml:space="preserve">RSP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MA50</t>
    </r>
    <r>
      <rPr>
        <sz val="10"/>
        <rFont val="Noto Sans CJK SC"/>
        <family val="2"/>
      </rPr>
      <t xml:space="preserve">由</t>
    </r>
    <r>
      <rPr>
        <sz val="10"/>
        <rFont val="Arial"/>
        <family val="0"/>
        <charset val="1"/>
      </rPr>
      <t xml:space="preserve">VMA4 187.79</t>
    </r>
    <r>
      <rPr>
        <sz val="10"/>
        <rFont val="Noto Sans CJK SC"/>
        <family val="2"/>
      </rPr>
      <t xml:space="preserve">改为</t>
    </r>
    <r>
      <rPr>
        <sz val="10"/>
        <rFont val="Arial"/>
        <family val="0"/>
        <charset val="1"/>
      </rPr>
      <t xml:space="preserve">188.92</t>
    </r>
    <r>
      <rPr>
        <sz val="10"/>
        <rFont val="Noto Sans CJK SC"/>
        <family val="2"/>
      </rPr>
      <t xml:space="preserve">，价格维度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分→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分的关键</t>
    </r>
  </si>
  <si>
    <r>
      <rPr>
        <sz val="10"/>
        <rFont val="Arial"/>
        <family val="0"/>
        <charset val="1"/>
      </rPr>
      <t xml:space="preserve">OAS</t>
    </r>
    <r>
      <rPr>
        <sz val="10"/>
        <rFont val="Noto Sans CJK SC"/>
        <family val="2"/>
      </rPr>
      <t xml:space="preserve">截图曾误用</t>
    </r>
    <r>
      <rPr>
        <sz val="10"/>
        <rFont val="Arial"/>
        <family val="0"/>
        <charset val="1"/>
      </rPr>
      <t xml:space="preserve">10-24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10-31</t>
    </r>
    <r>
      <rPr>
        <sz val="10"/>
        <rFont val="Noto Sans CJK SC"/>
        <family val="2"/>
      </rPr>
      <t xml:space="preserve">，改回</t>
    </r>
    <r>
      <rPr>
        <sz val="10"/>
        <rFont val="Arial"/>
        <family val="0"/>
        <charset val="1"/>
      </rPr>
      <t xml:space="preserve">O1=10-30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O6=10-23</t>
    </r>
  </si>
  <si>
    <r>
      <rPr>
        <sz val="10"/>
        <rFont val="Arial"/>
        <family val="0"/>
        <charset val="1"/>
      </rPr>
      <t xml:space="preserve">10-31</t>
    </r>
    <r>
      <rPr>
        <sz val="10"/>
        <rFont val="Noto Sans CJK SC"/>
        <family val="2"/>
      </rPr>
      <t xml:space="preserve">观测在分析时点未发布，若误用</t>
    </r>
    <r>
      <rPr>
        <sz val="10"/>
        <rFont val="Arial"/>
        <family val="0"/>
        <charset val="1"/>
      </rPr>
      <t xml:space="preserve">ΔOAS</t>
    </r>
    <r>
      <rPr>
        <sz val="10"/>
        <rFont val="Noto Sans CJK SC"/>
        <family val="2"/>
      </rPr>
      <t xml:space="preserve">为</t>
    </r>
    <r>
      <rPr>
        <sz val="10"/>
        <rFont val="Arial"/>
        <family val="0"/>
        <charset val="1"/>
      </rPr>
      <t xml:space="preserve">+6bp</t>
    </r>
    <r>
      <rPr>
        <sz val="10"/>
        <rFont val="Noto Sans CJK SC"/>
        <family val="2"/>
      </rPr>
      <t xml:space="preserve">、信用会计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</si>
  <si>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r>
      <rPr>
        <sz val="10"/>
        <rFont val="Arial"/>
        <family val="0"/>
        <charset val="1"/>
      </rPr>
      <t xml:space="preserve">FRED VIXCLS</t>
    </r>
    <r>
      <rPr>
        <sz val="10"/>
        <rFont val="Noto Sans CJK SC"/>
        <family val="2"/>
      </rPr>
      <t xml:space="preserve">首次截图结束日期为</t>
    </r>
    <r>
      <rPr>
        <sz val="10"/>
        <rFont val="Arial"/>
        <family val="0"/>
        <charset val="1"/>
      </rPr>
      <t xml:space="preserve">10-30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16.91</t>
    </r>
    <r>
      <rPr>
        <sz val="10"/>
        <rFont val="Noto Sans CJK SC"/>
        <family val="2"/>
      </rPr>
      <t xml:space="preserve">），改为</t>
    </r>
    <r>
      <rPr>
        <sz val="10"/>
        <rFont val="Arial"/>
        <family val="0"/>
        <charset val="1"/>
      </rPr>
      <t xml:space="preserve">10-31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17.44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</si>
  <si>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Tiger</t>
    </r>
    <r>
      <rPr>
        <sz val="10"/>
        <rFont val="Noto Sans CJK SC"/>
        <family val="2"/>
      </rPr>
      <t xml:space="preserve">推算值一致，</t>
    </r>
    <r>
      <rPr>
        <sz val="10"/>
        <rFont val="Arial"/>
        <family val="0"/>
        <charset val="1"/>
      </rPr>
      <t xml:space="preserve">VIX</t>
    </r>
    <r>
      <rPr>
        <sz val="10"/>
        <rFont val="Noto Sans CJK SC"/>
        <family val="2"/>
      </rPr>
      <t xml:space="preserve">计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分</t>
    </r>
  </si>
  <si>
    <t xml:space="preserve">未来信息处理</t>
  </si>
  <si>
    <r>
      <rPr>
        <sz val="10"/>
        <rFont val="Arial"/>
        <family val="0"/>
        <charset val="1"/>
      </rPr>
      <t xml:space="preserve">S5FI/S5TW</t>
    </r>
    <r>
      <rPr>
        <sz val="10"/>
        <rFont val="Noto Sans CJK SC"/>
        <family val="2"/>
      </rPr>
      <t xml:space="preserve">右侧青色最新值标签与红框标签、日线图均线在光标右侧延伸半根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线、</t>
    </r>
    <r>
      <rPr>
        <sz val="10"/>
        <rFont val="Arial"/>
        <family val="0"/>
        <charset val="1"/>
      </rPr>
      <t xml:space="preserve">HYG/LQD</t>
    </r>
    <r>
      <rPr>
        <sz val="10"/>
        <rFont val="Noto Sans CJK SC"/>
        <family val="2"/>
      </rPr>
      <t xml:space="preserve">后续成交量柱，均在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</rPr>
      <t xml:space="preserve">中要求忽略</t>
    </r>
  </si>
  <si>
    <t xml:space="preserve">不影响计分</t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</si>
  <si>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及以后</t>
    </r>
  </si>
  <si>
    <t xml:space="preserve">流程</t>
  </si>
  <si>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会话含旧的事后信息；从样本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起每个样本在全新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对话中打分</t>
    </r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</si>
  <si>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分数全为机械计算，可接受</t>
    </r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</si>
  <si>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1</t>
    </r>
  </si>
  <si>
    <t xml:space="preserve">数据质量</t>
  </si>
  <si>
    <r>
      <rPr>
        <sz val="10"/>
        <rFont val="Arial"/>
        <family val="0"/>
        <charset val="1"/>
      </rPr>
      <t xml:space="preserve">OAS O6</t>
    </r>
    <r>
      <rPr>
        <sz val="10"/>
        <rFont val="Noto Sans CJK SC"/>
        <family val="2"/>
      </rPr>
      <t xml:space="preserve">为截图目测约值（约</t>
    </r>
    <r>
      <rPr>
        <sz val="10"/>
        <rFont val="Arial"/>
        <family val="0"/>
        <charset val="1"/>
      </rPr>
      <t xml:space="preserve">2.95%</t>
    </r>
    <r>
      <rPr>
        <sz val="10"/>
        <rFont val="Noto Sans CJK SC"/>
        <family val="2"/>
      </rPr>
      <t xml:space="preserve">），非</t>
    </r>
    <r>
      <rPr>
        <sz val="10"/>
        <rFont val="Arial"/>
        <family val="0"/>
        <charset val="1"/>
      </rPr>
      <t xml:space="preserve">Observations</t>
    </r>
    <r>
      <rPr>
        <sz val="10"/>
        <rFont val="Noto Sans CJK SC"/>
        <family val="2"/>
      </rPr>
      <t xml:space="preserve">文字值</t>
    </r>
  </si>
  <si>
    <r>
      <rPr>
        <sz val="10"/>
        <rFont val="Arial"/>
        <family val="0"/>
        <charset val="1"/>
      </rPr>
      <t xml:space="preserve">ΔOAS</t>
    </r>
    <r>
      <rPr>
        <sz val="10"/>
        <rFont val="Noto Sans CJK SC"/>
        <family val="2"/>
      </rPr>
      <t xml:space="preserve">约−</t>
    </r>
    <r>
      <rPr>
        <sz val="10"/>
        <rFont val="Arial"/>
        <family val="0"/>
        <charset val="1"/>
      </rPr>
      <t xml:space="preserve">20bp</t>
    </r>
    <r>
      <rPr>
        <sz val="10"/>
        <rFont val="Noto Sans CJK SC"/>
        <family val="2"/>
      </rPr>
      <t xml:space="preserve">，离</t>
    </r>
    <r>
      <rPr>
        <sz val="10"/>
        <rFont val="Arial"/>
        <family val="0"/>
        <charset val="1"/>
      </rPr>
      <t xml:space="preserve">+5bp</t>
    </r>
    <r>
      <rPr>
        <sz val="10"/>
        <rFont val="Noto Sans CJK SC"/>
        <family val="2"/>
      </rPr>
      <t xml:space="preserve">门槛远，不影响结果</t>
    </r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</si>
  <si>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4</t>
    </r>
  </si>
  <si>
    <t xml:space="preserve">数据确认</t>
  </si>
  <si>
    <r>
      <rPr>
        <sz val="10"/>
        <rFont val="Arial"/>
        <family val="0"/>
        <charset val="1"/>
      </rPr>
      <t xml:space="preserve">Tiger</t>
    </r>
    <r>
      <rPr>
        <sz val="10"/>
        <rFont val="Noto Sans CJK SC"/>
        <family val="2"/>
      </rPr>
      <t xml:space="preserve">价格与均线确认为不复权（前复权会用基准日之后的股息调整历史价格，属未来信息）</t>
    </r>
  </si>
  <si>
    <t xml:space="preserve">数值未变</t>
  </si>
  <si>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限定日期的搜索仍返回截点外内容，已排除并标注存在事后信息影响</t>
    </r>
  </si>
  <si>
    <t xml:space="preserve">分数全为机械计算，可接受</t>
  </si>
  <si>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、样本</t>
    </r>
    <r>
      <rPr>
        <sz val="10"/>
        <rFont val="Arial"/>
        <family val="0"/>
        <charset val="1"/>
      </rPr>
      <t xml:space="preserve">4</t>
    </r>
  </si>
  <si>
    <t xml:space="preserve">规则口径（待定）</t>
  </si>
  <si>
    <r>
      <rPr>
        <sz val="10"/>
        <rFont val="Noto Sans CJK SC"/>
        <family val="2"/>
      </rPr>
      <t xml:space="preserve">三环节</t>
    </r>
    <r>
      <rPr>
        <sz val="10"/>
        <rFont val="Arial"/>
        <family val="0"/>
        <charset val="1"/>
      </rPr>
      <t xml:space="preserve">d1</t>
    </r>
    <r>
      <rPr>
        <sz val="10"/>
        <rFont val="Noto Sans CJK SC"/>
        <family val="2"/>
      </rPr>
      <t xml:space="preserve">候选是否包含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：样本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10-03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10-29</t>
    </r>
    <r>
      <rPr>
        <sz val="10"/>
        <rFont val="Noto Sans CJK SC"/>
        <family val="2"/>
      </rPr>
      <t xml:space="preserve">（不含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），样本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T−20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10-30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</si>
  <si>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两个样本结果均不受影响；需在</t>
    </r>
    <r>
      <rPr>
        <sz val="10"/>
        <rFont val="Arial"/>
        <family val="0"/>
        <charset val="1"/>
      </rPr>
      <t xml:space="preserve">SOP</t>
    </r>
    <r>
      <rPr>
        <sz val="10"/>
        <rFont val="Noto Sans CJK SC"/>
        <family val="2"/>
      </rPr>
      <t xml:space="preserve">中明确</t>
    </r>
  </si>
  <si>
    <t xml:space="preserve">流程（计划）</t>
  </si>
  <si>
    <r>
      <rPr>
        <sz val="10"/>
        <rFont val="Noto Sans CJK SC"/>
        <family val="2"/>
      </rPr>
      <t xml:space="preserve">计划用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程序通过接口获取价格、</t>
    </r>
    <r>
      <rPr>
        <sz val="10"/>
        <rFont val="Arial"/>
        <family val="0"/>
        <charset val="1"/>
      </rPr>
      <t xml:space="preserve">VIX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OAS</t>
    </r>
    <r>
      <rPr>
        <sz val="10"/>
        <rFont val="Noto Sans CJK SC"/>
        <family val="2"/>
      </rPr>
      <t xml:space="preserve">、收益率并自动计算均线与三环节；</t>
    </r>
    <r>
      <rPr>
        <sz val="10"/>
        <rFont val="Arial"/>
        <family val="0"/>
        <charset val="1"/>
      </rPr>
      <t xml:space="preserve">S5FI/S5TW</t>
    </r>
    <r>
      <rPr>
        <sz val="10"/>
        <rFont val="Noto Sans CJK SC"/>
        <family val="2"/>
      </rPr>
      <t xml:space="preserve">仍手工记录文字值</t>
    </r>
  </si>
  <si>
    <r>
      <rPr>
        <sz val="10"/>
        <rFont val="Noto Sans CJK SC"/>
        <family val="2"/>
      </rPr>
      <t xml:space="preserve">切换前需用样本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比对程序计算值与截图值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</si>
</sst>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0.00%"/>
    <numFmt numFmtId="168" formatCode="0.000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595959"/>
        <bgColor rgb="FF333333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10" min="5" style="0" width="7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8" min="13" style="0" width="7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8"/>
    <col collapsed="false" customWidth="true" hidden="false" outlineLevel="0" max="22" min="22" style="0" width="22"/>
    <col collapsed="false" customWidth="true" hidden="false" outlineLevel="0" max="23" min="23" style="0" width="10"/>
    <col collapsed="false" customWidth="true" hidden="false" outlineLevel="0" max="24" min="24" style="0" width="34"/>
    <col collapsed="false" customWidth="true" hidden="false" outlineLevel="0" max="25" min="25" style="0" width="60"/>
    <col collapsed="false" customWidth="true" hidden="false" outlineLevel="0" max="26" min="26" style="0" width="14"/>
  </cols>
  <sheetData>
    <row r="1" customFormat="false" ht="21.6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4" t="s">
        <v>26</v>
      </c>
      <c r="Z4" s="4" t="s">
        <v>27</v>
      </c>
    </row>
    <row r="5" customFormat="false" ht="90" hidden="false" customHeight="true" outlineLevel="0" collapsed="false">
      <c r="A5" s="5" t="n">
        <v>1</v>
      </c>
      <c r="B5" s="6" t="n">
        <v>45898</v>
      </c>
      <c r="C5" s="7" t="s">
        <v>28</v>
      </c>
      <c r="D5" s="7" t="s">
        <v>29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5" t="n">
        <f aca="false">IF(COUNT(E5:I5)&lt;5,"",SUM(E5:I5))</f>
        <v>0</v>
      </c>
      <c r="K5" s="5" t="str">
        <f aca="false">IF(J5="","",IF(J5&lt;=2,"早期信号",IF(J5&lt;=5,"中期确认信号","高风险")))</f>
        <v>早期信号</v>
      </c>
      <c r="L5" s="5" t="str">
        <f aca="false">IF(J5="","",IF(AND(E5=2,F5=2,OR(I5=2,G5=2)),"是","否"))</f>
        <v>否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5" t="n">
        <f aca="false">IF(COUNT(M5:Q5)&lt;5,"",SUM(M5:Q5))</f>
        <v>0</v>
      </c>
      <c r="S5" s="5" t="str">
        <f aca="false">IF(R5="","",IF(R5&lt;=2,"早期信号",IF(R5&lt;=5,"中期确认信号","高风险")))</f>
        <v>早期信号</v>
      </c>
      <c r="T5" s="5" t="str">
        <f aca="false">IF(R5="","",IF(AND(M5=2,N5=2,OR(Q5=2,O5=2)),"是","否"))</f>
        <v>否</v>
      </c>
      <c r="U5" s="5" t="str">
        <f aca="false">IF(OR(J5="",R5=""),"","v2-M:"&amp;IF(J5&gt;=3,"是","否")&amp;" / v3-R1:"&amp;IF(R5&gt;=3,"是","否"))</f>
        <v>v2-M:否 / v3-R1:否</v>
      </c>
      <c r="V5" s="9" t="s">
        <v>30</v>
      </c>
      <c r="W5" s="10"/>
      <c r="X5" s="11" t="s">
        <v>31</v>
      </c>
      <c r="Y5" s="11" t="s">
        <v>32</v>
      </c>
      <c r="Z5" s="11" t="s">
        <v>33</v>
      </c>
    </row>
    <row r="6" customFormat="false" ht="90" hidden="false" customHeight="true" outlineLevel="0" collapsed="false">
      <c r="A6" s="5" t="n">
        <v>2</v>
      </c>
      <c r="B6" s="6" t="n">
        <v>45926</v>
      </c>
      <c r="C6" s="7" t="s">
        <v>28</v>
      </c>
      <c r="D6" s="7" t="s">
        <v>29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5" t="n">
        <f aca="false">IF(COUNT(E6:I6)&lt;5,"",SUM(E6:I6))</f>
        <v>0</v>
      </c>
      <c r="K6" s="5" t="str">
        <f aca="false">IF(J6="","",IF(J6&lt;=2,"早期信号",IF(J6&lt;=5,"中期确认信号","高风险")))</f>
        <v>早期信号</v>
      </c>
      <c r="L6" s="5" t="str">
        <f aca="false">IF(J6="","",IF(AND(E6=2,F6=2,OR(I6=2,G6=2)),"是","否"))</f>
        <v>否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5" t="n">
        <f aca="false">IF(COUNT(M6:Q6)&lt;5,"",SUM(M6:Q6))</f>
        <v>0</v>
      </c>
      <c r="S6" s="5" t="str">
        <f aca="false">IF(R6="","",IF(R6&lt;=2,"早期信号",IF(R6&lt;=5,"中期确认信号","高风险")))</f>
        <v>早期信号</v>
      </c>
      <c r="T6" s="5" t="str">
        <f aca="false">IF(R6="","",IF(AND(M6=2,N6=2,OR(Q6=2,O6=2)),"是","否"))</f>
        <v>否</v>
      </c>
      <c r="U6" s="5" t="str">
        <f aca="false">IF(OR(J6="",R6=""),"","v2-M:"&amp;IF(J6&gt;=3,"是","否")&amp;" / v3-R1:"&amp;IF(R6&gt;=3,"是","否"))</f>
        <v>v2-M:否 / v3-R1:否</v>
      </c>
      <c r="V6" s="9" t="s">
        <v>34</v>
      </c>
      <c r="W6" s="10"/>
      <c r="X6" s="9" t="s">
        <v>35</v>
      </c>
      <c r="Y6" s="11" t="s">
        <v>36</v>
      </c>
      <c r="Z6" s="11" t="s">
        <v>33</v>
      </c>
    </row>
    <row r="7" customFormat="false" ht="90" hidden="false" customHeight="true" outlineLevel="0" collapsed="false">
      <c r="A7" s="5" t="n">
        <v>3</v>
      </c>
      <c r="B7" s="6" t="n">
        <v>45961</v>
      </c>
      <c r="C7" s="7" t="s">
        <v>28</v>
      </c>
      <c r="D7" s="7" t="s">
        <v>29</v>
      </c>
      <c r="E7" s="8" t="n">
        <v>1</v>
      </c>
      <c r="F7" s="8" t="n">
        <v>2</v>
      </c>
      <c r="G7" s="8" t="n">
        <v>0</v>
      </c>
      <c r="H7" s="8" t="n">
        <v>0</v>
      </c>
      <c r="I7" s="8" t="n">
        <v>0</v>
      </c>
      <c r="J7" s="5" t="n">
        <f aca="false">IF(COUNT(E7:I7)&lt;5,"",SUM(E7:I7))</f>
        <v>3</v>
      </c>
      <c r="K7" s="5" t="str">
        <f aca="false">IF(J7="","",IF(J7&lt;=2,"早期信号",IF(J7&lt;=5,"中期确认信号","高风险")))</f>
        <v>中期确认信号</v>
      </c>
      <c r="L7" s="5" t="str">
        <f aca="false">IF(J7="","",IF(AND(E7=2,F7=2,OR(I7=2,G7=2)),"是","否"))</f>
        <v>否</v>
      </c>
      <c r="M7" s="8" t="n">
        <v>1</v>
      </c>
      <c r="N7" s="8" t="n">
        <v>2</v>
      </c>
      <c r="O7" s="8" t="n">
        <v>0</v>
      </c>
      <c r="P7" s="8" t="n">
        <v>0</v>
      </c>
      <c r="Q7" s="8" t="n">
        <v>0</v>
      </c>
      <c r="R7" s="5" t="n">
        <f aca="false">IF(COUNT(M7:Q7)&lt;5,"",SUM(M7:Q7))</f>
        <v>3</v>
      </c>
      <c r="S7" s="5" t="str">
        <f aca="false">IF(R7="","",IF(R7&lt;=2,"早期信号",IF(R7&lt;=5,"中期确认信号","高风险")))</f>
        <v>中期确认信号</v>
      </c>
      <c r="T7" s="5" t="str">
        <f aca="false">IF(R7="","",IF(AND(M7=2,N7=2,OR(Q7=2,O7=2)),"是","否"))</f>
        <v>否</v>
      </c>
      <c r="U7" s="5" t="str">
        <f aca="false">IF(OR(J7="",R7=""),"","v2-M:"&amp;IF(J7&gt;=3,"是","否")&amp;" / v3-R1:"&amp;IF(R7&gt;=3,"是","否"))</f>
        <v>v2-M:是 / v3-R1:是</v>
      </c>
      <c r="V7" s="9" t="s">
        <v>37</v>
      </c>
      <c r="W7" s="10"/>
      <c r="X7" s="9" t="s">
        <v>38</v>
      </c>
      <c r="Y7" s="11" t="s">
        <v>39</v>
      </c>
      <c r="Z7" s="11" t="s">
        <v>40</v>
      </c>
    </row>
    <row r="8" customFormat="false" ht="86.55" hidden="false" customHeight="false" outlineLevel="0" collapsed="false">
      <c r="A8" s="5" t="n">
        <v>4</v>
      </c>
      <c r="B8" s="6" t="n">
        <v>45989</v>
      </c>
      <c r="C8" s="7" t="s">
        <v>28</v>
      </c>
      <c r="D8" s="7" t="s">
        <v>29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5" t="n">
        <f aca="false">IF(COUNT(E8:I8)&lt;5,"",SUM(E8:I8))</f>
        <v>0</v>
      </c>
      <c r="K8" s="5" t="str">
        <f aca="false">IF(J8="","",IF(J8&lt;=2,"早期信号",IF(J8&lt;=5,"中期确认信号","高风险")))</f>
        <v>早期信号</v>
      </c>
      <c r="L8" s="5" t="str">
        <f aca="false">IF(J8="","",IF(AND(E8=2,F8=2,OR(I8=2,G8=2)),"是","否"))</f>
        <v>否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5" t="n">
        <f aca="false">IF(COUNT(M8:Q8)&lt;5,"",SUM(M8:Q8))</f>
        <v>0</v>
      </c>
      <c r="S8" s="5" t="str">
        <f aca="false">IF(R8="","",IF(R8&lt;=2,"早期信号",IF(R8&lt;=5,"中期确认信号","高风险")))</f>
        <v>早期信号</v>
      </c>
      <c r="T8" s="5" t="str">
        <f aca="false">IF(R8="","",IF(AND(M8=2,N8=2,OR(Q8=2,O8=2)),"是","否"))</f>
        <v>否</v>
      </c>
      <c r="U8" s="5" t="str">
        <f aca="false">IF(OR(J8="",R8=""),"","v2-M:"&amp;IF(J8&gt;=3,"是","否")&amp;" / v3-R1:"&amp;IF(R8&gt;=3,"是","否"))</f>
        <v>v2-M:否 / v3-R1:否</v>
      </c>
      <c r="V8" s="9" t="s">
        <v>41</v>
      </c>
      <c r="W8" s="10"/>
      <c r="X8" s="9" t="s">
        <v>42</v>
      </c>
      <c r="Y8" s="11" t="s">
        <v>43</v>
      </c>
      <c r="Z8" s="11" t="s">
        <v>44</v>
      </c>
    </row>
    <row r="9" customFormat="false" ht="15" hidden="false" customHeight="false" outlineLevel="0" collapsed="false">
      <c r="A9" s="5" t="n">
        <v>5</v>
      </c>
      <c r="B9" s="6" t="n">
        <v>46017</v>
      </c>
      <c r="C9" s="7" t="s">
        <v>28</v>
      </c>
      <c r="D9" s="7" t="s">
        <v>45</v>
      </c>
      <c r="E9" s="8"/>
      <c r="F9" s="8"/>
      <c r="G9" s="8"/>
      <c r="H9" s="8"/>
      <c r="I9" s="8"/>
      <c r="J9" s="5" t="str">
        <f aca="false">IF(COUNT(E9:I9)&lt;5,"",SUM(E9:I9))</f>
        <v/>
      </c>
      <c r="K9" s="5" t="str">
        <f aca="false">IF(J9="","",IF(J9&lt;=2,"早期信号",IF(J9&lt;=5,"中期确认信号","高风险")))</f>
        <v/>
      </c>
      <c r="L9" s="5" t="str">
        <f aca="false">IF(J9="","",IF(AND(E9=2,F9=2,OR(I9=2,G9=2)),"是","否"))</f>
        <v/>
      </c>
      <c r="M9" s="8"/>
      <c r="N9" s="8"/>
      <c r="O9" s="8"/>
      <c r="P9" s="8"/>
      <c r="Q9" s="8"/>
      <c r="R9" s="5" t="str">
        <f aca="false">IF(COUNT(M9:Q9)&lt;5,"",SUM(M9:Q9))</f>
        <v/>
      </c>
      <c r="S9" s="5" t="str">
        <f aca="false">IF(R9="","",IF(R9&lt;=2,"早期信号",IF(R9&lt;=5,"中期确认信号","高风险")))</f>
        <v/>
      </c>
      <c r="T9" s="5" t="str">
        <f aca="false">IF(R9="","",IF(AND(M9=2,N9=2,OR(Q9=2,O9=2)),"是","否"))</f>
        <v/>
      </c>
      <c r="U9" s="5" t="str">
        <f aca="false">IF(OR(J9="",R9=""),"","v2-M:"&amp;IF(J9&gt;=3,"是","否")&amp;" / v3-R1:"&amp;IF(R9&gt;=3,"是","否"))</f>
        <v/>
      </c>
      <c r="V9" s="9"/>
      <c r="W9" s="5"/>
      <c r="X9" s="9"/>
      <c r="Y9" s="9"/>
      <c r="Z9" s="9"/>
    </row>
    <row r="10" customFormat="false" ht="15" hidden="false" customHeight="false" outlineLevel="0" collapsed="false">
      <c r="A10" s="5" t="n">
        <v>6</v>
      </c>
      <c r="B10" s="6" t="n">
        <v>46052</v>
      </c>
      <c r="C10" s="7" t="s">
        <v>28</v>
      </c>
      <c r="D10" s="7" t="s">
        <v>45</v>
      </c>
      <c r="E10" s="8"/>
      <c r="F10" s="8"/>
      <c r="G10" s="8"/>
      <c r="H10" s="8"/>
      <c r="I10" s="8"/>
      <c r="J10" s="5" t="str">
        <f aca="false">IF(COUNT(E10:I10)&lt;5,"",SUM(E10:I10))</f>
        <v/>
      </c>
      <c r="K10" s="5" t="str">
        <f aca="false">IF(J10="","",IF(J10&lt;=2,"早期信号",IF(J10&lt;=5,"中期确认信号","高风险")))</f>
        <v/>
      </c>
      <c r="L10" s="5" t="str">
        <f aca="false">IF(J10="","",IF(AND(E10=2,F10=2,OR(I10=2,G10=2)),"是","否"))</f>
        <v/>
      </c>
      <c r="M10" s="8"/>
      <c r="N10" s="8"/>
      <c r="O10" s="8"/>
      <c r="P10" s="8"/>
      <c r="Q10" s="8"/>
      <c r="R10" s="5" t="str">
        <f aca="false">IF(COUNT(M10:Q10)&lt;5,"",SUM(M10:Q10))</f>
        <v/>
      </c>
      <c r="S10" s="5" t="str">
        <f aca="false">IF(R10="","",IF(R10&lt;=2,"早期信号",IF(R10&lt;=5,"中期确认信号","高风险")))</f>
        <v/>
      </c>
      <c r="T10" s="5" t="str">
        <f aca="false">IF(R10="","",IF(AND(M10=2,N10=2,OR(Q10=2,O10=2)),"是","否"))</f>
        <v/>
      </c>
      <c r="U10" s="5" t="str">
        <f aca="false">IF(OR(J10="",R10=""),"","v2-M:"&amp;IF(J10&gt;=3,"是","否")&amp;" / v3-R1:"&amp;IF(R10&gt;=3,"是","否"))</f>
        <v/>
      </c>
      <c r="V10" s="9"/>
      <c r="W10" s="5"/>
      <c r="X10" s="9"/>
      <c r="Y10" s="11" t="s">
        <v>46</v>
      </c>
      <c r="Z10" s="9"/>
    </row>
    <row r="11" customFormat="false" ht="15" hidden="false" customHeight="false" outlineLevel="0" collapsed="false">
      <c r="A11" s="5" t="n">
        <v>7</v>
      </c>
      <c r="B11" s="6" t="n">
        <v>46080</v>
      </c>
      <c r="C11" s="7" t="s">
        <v>28</v>
      </c>
      <c r="D11" s="7" t="s">
        <v>45</v>
      </c>
      <c r="E11" s="8"/>
      <c r="F11" s="8"/>
      <c r="G11" s="8"/>
      <c r="H11" s="8"/>
      <c r="I11" s="8"/>
      <c r="J11" s="5" t="str">
        <f aca="false">IF(COUNT(E11:I11)&lt;5,"",SUM(E11:I11))</f>
        <v/>
      </c>
      <c r="K11" s="5" t="str">
        <f aca="false">IF(J11="","",IF(J11&lt;=2,"早期信号",IF(J11&lt;=5,"中期确认信号","高风险")))</f>
        <v/>
      </c>
      <c r="L11" s="5" t="str">
        <f aca="false">IF(J11="","",IF(AND(E11=2,F11=2,OR(I11=2,G11=2)),"是","否"))</f>
        <v/>
      </c>
      <c r="M11" s="8"/>
      <c r="N11" s="8"/>
      <c r="O11" s="8"/>
      <c r="P11" s="8"/>
      <c r="Q11" s="8"/>
      <c r="R11" s="5" t="str">
        <f aca="false">IF(COUNT(M11:Q11)&lt;5,"",SUM(M11:Q11))</f>
        <v/>
      </c>
      <c r="S11" s="5" t="str">
        <f aca="false">IF(R11="","",IF(R11&lt;=2,"早期信号",IF(R11&lt;=5,"中期确认信号","高风险")))</f>
        <v/>
      </c>
      <c r="T11" s="5" t="str">
        <f aca="false">IF(R11="","",IF(AND(M11=2,N11=2,OR(Q11=2,O11=2)),"是","否"))</f>
        <v/>
      </c>
      <c r="U11" s="5" t="str">
        <f aca="false">IF(OR(J11="",R11=""),"","v2-M:"&amp;IF(J11&gt;=3,"是","否")&amp;" / v3-R1:"&amp;IF(R11&gt;=3,"是","否"))</f>
        <v/>
      </c>
      <c r="V11" s="9"/>
      <c r="W11" s="5"/>
      <c r="X11" s="9"/>
      <c r="Y11" s="11" t="s">
        <v>47</v>
      </c>
      <c r="Z11" s="9"/>
    </row>
    <row r="12" customFormat="false" ht="15" hidden="false" customHeight="false" outlineLevel="0" collapsed="false">
      <c r="A12" s="5" t="n">
        <v>8</v>
      </c>
      <c r="B12" s="6" t="n">
        <v>46108</v>
      </c>
      <c r="C12" s="7" t="s">
        <v>28</v>
      </c>
      <c r="D12" s="7" t="s">
        <v>45</v>
      </c>
      <c r="E12" s="8"/>
      <c r="F12" s="8"/>
      <c r="G12" s="8"/>
      <c r="H12" s="8"/>
      <c r="I12" s="8"/>
      <c r="J12" s="5" t="str">
        <f aca="false">IF(COUNT(E12:I12)&lt;5,"",SUM(E12:I12))</f>
        <v/>
      </c>
      <c r="K12" s="5" t="str">
        <f aca="false">IF(J12="","",IF(J12&lt;=2,"早期信号",IF(J12&lt;=5,"中期确认信号","高风险")))</f>
        <v/>
      </c>
      <c r="L12" s="5" t="str">
        <f aca="false">IF(J12="","",IF(AND(E12=2,F12=2,OR(I12=2,G12=2)),"是","否"))</f>
        <v/>
      </c>
      <c r="M12" s="8"/>
      <c r="N12" s="8"/>
      <c r="O12" s="8"/>
      <c r="P12" s="8"/>
      <c r="Q12" s="8"/>
      <c r="R12" s="5" t="str">
        <f aca="false">IF(COUNT(M12:Q12)&lt;5,"",SUM(M12:Q12))</f>
        <v/>
      </c>
      <c r="S12" s="5" t="str">
        <f aca="false">IF(R12="","",IF(R12&lt;=2,"早期信号",IF(R12&lt;=5,"中期确认信号","高风险")))</f>
        <v/>
      </c>
      <c r="T12" s="5" t="str">
        <f aca="false">IF(R12="","",IF(AND(M12=2,N12=2,OR(Q12=2,O12=2)),"是","否"))</f>
        <v/>
      </c>
      <c r="U12" s="5" t="str">
        <f aca="false">IF(OR(J12="",R12=""),"","v2-M:"&amp;IF(J12&gt;=3,"是","否")&amp;" / v3-R1:"&amp;IF(R12&gt;=3,"是","否"))</f>
        <v/>
      </c>
      <c r="V12" s="9"/>
      <c r="W12" s="5"/>
      <c r="X12" s="9"/>
      <c r="Y12" s="9"/>
      <c r="Z12" s="9"/>
    </row>
    <row r="13" customFormat="false" ht="15" hidden="false" customHeight="false" outlineLevel="0" collapsed="false">
      <c r="A13" s="5" t="n">
        <v>9</v>
      </c>
      <c r="B13" s="6" t="n">
        <v>46136</v>
      </c>
      <c r="C13" s="7" t="s">
        <v>28</v>
      </c>
      <c r="D13" s="7" t="s">
        <v>45</v>
      </c>
      <c r="E13" s="8"/>
      <c r="F13" s="8"/>
      <c r="G13" s="8"/>
      <c r="H13" s="8"/>
      <c r="I13" s="8"/>
      <c r="J13" s="5" t="str">
        <f aca="false">IF(COUNT(E13:I13)&lt;5,"",SUM(E13:I13))</f>
        <v/>
      </c>
      <c r="K13" s="5" t="str">
        <f aca="false">IF(J13="","",IF(J13&lt;=2,"早期信号",IF(J13&lt;=5,"中期确认信号","高风险")))</f>
        <v/>
      </c>
      <c r="L13" s="5" t="str">
        <f aca="false">IF(J13="","",IF(AND(E13=2,F13=2,OR(I13=2,G13=2)),"是","否"))</f>
        <v/>
      </c>
      <c r="M13" s="8"/>
      <c r="N13" s="8"/>
      <c r="O13" s="8"/>
      <c r="P13" s="8"/>
      <c r="Q13" s="8"/>
      <c r="R13" s="5" t="str">
        <f aca="false">IF(COUNT(M13:Q13)&lt;5,"",SUM(M13:Q13))</f>
        <v/>
      </c>
      <c r="S13" s="5" t="str">
        <f aca="false">IF(R13="","",IF(R13&lt;=2,"早期信号",IF(R13&lt;=5,"中期确认信号","高风险")))</f>
        <v/>
      </c>
      <c r="T13" s="5" t="str">
        <f aca="false">IF(R13="","",IF(AND(M13=2,N13=2,OR(Q13=2,O13=2)),"是","否"))</f>
        <v/>
      </c>
      <c r="U13" s="5" t="str">
        <f aca="false">IF(OR(J13="",R13=""),"","v2-M:"&amp;IF(J13&gt;=3,"是","否")&amp;" / v3-R1:"&amp;IF(R13&gt;=3,"是","否"))</f>
        <v/>
      </c>
      <c r="V13" s="9"/>
      <c r="W13" s="5"/>
      <c r="X13" s="9"/>
      <c r="Y13" s="9"/>
      <c r="Z13" s="9"/>
    </row>
    <row r="14" customFormat="false" ht="15" hidden="false" customHeight="false" outlineLevel="0" collapsed="false">
      <c r="A14" s="5" t="n">
        <v>10</v>
      </c>
      <c r="B14" s="6" t="n">
        <v>46171</v>
      </c>
      <c r="C14" s="7" t="s">
        <v>28</v>
      </c>
      <c r="D14" s="7" t="s">
        <v>45</v>
      </c>
      <c r="E14" s="8"/>
      <c r="F14" s="8"/>
      <c r="G14" s="8"/>
      <c r="H14" s="8"/>
      <c r="I14" s="8"/>
      <c r="J14" s="5" t="str">
        <f aca="false">IF(COUNT(E14:I14)&lt;5,"",SUM(E14:I14))</f>
        <v/>
      </c>
      <c r="K14" s="5" t="str">
        <f aca="false">IF(J14="","",IF(J14&lt;=2,"早期信号",IF(J14&lt;=5,"中期确认信号","高风险")))</f>
        <v/>
      </c>
      <c r="L14" s="5" t="str">
        <f aca="false">IF(J14="","",IF(AND(E14=2,F14=2,OR(I14=2,G14=2)),"是","否"))</f>
        <v/>
      </c>
      <c r="M14" s="8"/>
      <c r="N14" s="8"/>
      <c r="O14" s="8"/>
      <c r="P14" s="8"/>
      <c r="Q14" s="8"/>
      <c r="R14" s="5" t="str">
        <f aca="false">IF(COUNT(M14:Q14)&lt;5,"",SUM(M14:Q14))</f>
        <v/>
      </c>
      <c r="S14" s="5" t="str">
        <f aca="false">IF(R14="","",IF(R14&lt;=2,"早期信号",IF(R14&lt;=5,"中期确认信号","高风险")))</f>
        <v/>
      </c>
      <c r="T14" s="5" t="str">
        <f aca="false">IF(R14="","",IF(AND(M14=2,N14=2,OR(Q14=2,O14=2)),"是","否"))</f>
        <v/>
      </c>
      <c r="U14" s="5" t="str">
        <f aca="false">IF(OR(J14="",R14=""),"","v2-M:"&amp;IF(J14&gt;=3,"是","否")&amp;" / v3-R1:"&amp;IF(R14&gt;=3,"是","否"))</f>
        <v/>
      </c>
      <c r="V14" s="9"/>
      <c r="W14" s="5"/>
      <c r="X14" s="9"/>
      <c r="Y14" s="9"/>
      <c r="Z14" s="9"/>
    </row>
    <row r="15" customFormat="false" ht="15" hidden="false" customHeight="false" outlineLevel="0" collapsed="false">
      <c r="A15" s="5" t="n">
        <v>11</v>
      </c>
      <c r="B15" s="6" t="n">
        <v>46199</v>
      </c>
      <c r="C15" s="7" t="s">
        <v>28</v>
      </c>
      <c r="D15" s="7" t="s">
        <v>45</v>
      </c>
      <c r="E15" s="8"/>
      <c r="F15" s="8"/>
      <c r="G15" s="8"/>
      <c r="H15" s="8"/>
      <c r="I15" s="8"/>
      <c r="J15" s="5" t="str">
        <f aca="false">IF(COUNT(E15:I15)&lt;5,"",SUM(E15:I15))</f>
        <v/>
      </c>
      <c r="K15" s="5" t="str">
        <f aca="false">IF(J15="","",IF(J15&lt;=2,"早期信号",IF(J15&lt;=5,"中期确认信号","高风险")))</f>
        <v/>
      </c>
      <c r="L15" s="5" t="str">
        <f aca="false">IF(J15="","",IF(AND(E15=2,F15=2,OR(I15=2,G15=2)),"是","否"))</f>
        <v/>
      </c>
      <c r="M15" s="8"/>
      <c r="N15" s="8"/>
      <c r="O15" s="8"/>
      <c r="P15" s="8"/>
      <c r="Q15" s="8"/>
      <c r="R15" s="5" t="str">
        <f aca="false">IF(COUNT(M15:Q15)&lt;5,"",SUM(M15:Q15))</f>
        <v/>
      </c>
      <c r="S15" s="5" t="str">
        <f aca="false">IF(R15="","",IF(R15&lt;=2,"早期信号",IF(R15&lt;=5,"中期确认信号","高风险")))</f>
        <v/>
      </c>
      <c r="T15" s="5" t="str">
        <f aca="false">IF(R15="","",IF(AND(M15=2,N15=2,OR(Q15=2,O15=2)),"是","否"))</f>
        <v/>
      </c>
      <c r="U15" s="5" t="str">
        <f aca="false">IF(OR(J15="",R15=""),"","v2-M:"&amp;IF(J15&gt;=3,"是","否")&amp;" / v3-R1:"&amp;IF(R15&gt;=3,"是","否"))</f>
        <v/>
      </c>
      <c r="V15" s="9"/>
      <c r="W15" s="5"/>
      <c r="X15" s="9"/>
      <c r="Y15" s="9"/>
      <c r="Z15" s="9"/>
    </row>
    <row r="16" customFormat="false" ht="15" hidden="false" customHeight="false" outlineLevel="0" collapsed="false">
      <c r="A16" s="5" t="n">
        <v>12</v>
      </c>
      <c r="B16" s="6" t="n">
        <v>46234</v>
      </c>
      <c r="C16" s="7" t="s">
        <v>28</v>
      </c>
      <c r="D16" s="7" t="s">
        <v>45</v>
      </c>
      <c r="E16" s="8"/>
      <c r="F16" s="8"/>
      <c r="G16" s="8"/>
      <c r="H16" s="8"/>
      <c r="I16" s="8"/>
      <c r="J16" s="5" t="str">
        <f aca="false">IF(COUNT(E16:I16)&lt;5,"",SUM(E16:I16))</f>
        <v/>
      </c>
      <c r="K16" s="5" t="str">
        <f aca="false">IF(J16="","",IF(J16&lt;=2,"早期信号",IF(J16&lt;=5,"中期确认信号","高风险")))</f>
        <v/>
      </c>
      <c r="L16" s="5" t="str">
        <f aca="false">IF(J16="","",IF(AND(E16=2,F16=2,OR(I16=2,G16=2)),"是","否"))</f>
        <v/>
      </c>
      <c r="M16" s="8"/>
      <c r="N16" s="8"/>
      <c r="O16" s="8"/>
      <c r="P16" s="8"/>
      <c r="Q16" s="8"/>
      <c r="R16" s="5" t="str">
        <f aca="false">IF(COUNT(M16:Q16)&lt;5,"",SUM(M16:Q16))</f>
        <v/>
      </c>
      <c r="S16" s="5" t="str">
        <f aca="false">IF(R16="","",IF(R16&lt;=2,"早期信号",IF(R16&lt;=5,"中期确认信号","高风险")))</f>
        <v/>
      </c>
      <c r="T16" s="5" t="str">
        <f aca="false">IF(R16="","",IF(AND(M16=2,N16=2,OR(Q16=2,O16=2)),"是","否"))</f>
        <v/>
      </c>
      <c r="U16" s="5" t="str">
        <f aca="false">IF(OR(J16="",R16=""),"","v2-M:"&amp;IF(J16&gt;=3,"是","否")&amp;" / v3-R1:"&amp;IF(R16&gt;=3,"是","否"))</f>
        <v/>
      </c>
      <c r="V16" s="9"/>
      <c r="W16" s="5"/>
      <c r="X16" s="9"/>
      <c r="Y16" s="9"/>
      <c r="Z16" s="9"/>
    </row>
    <row r="17" customFormat="false" ht="15" hidden="false" customHeight="false" outlineLevel="0" collapsed="false">
      <c r="A17" s="5" t="n">
        <v>13</v>
      </c>
      <c r="B17" s="6" t="n">
        <v>46262</v>
      </c>
      <c r="C17" s="7" t="s">
        <v>28</v>
      </c>
      <c r="D17" s="7" t="s">
        <v>45</v>
      </c>
      <c r="E17" s="8"/>
      <c r="F17" s="8"/>
      <c r="G17" s="8"/>
      <c r="H17" s="8"/>
      <c r="I17" s="8"/>
      <c r="J17" s="5" t="str">
        <f aca="false">IF(COUNT(E17:I17)&lt;5,"",SUM(E17:I17))</f>
        <v/>
      </c>
      <c r="K17" s="5" t="str">
        <f aca="false">IF(J17="","",IF(J17&lt;=2,"早期信号",IF(J17&lt;=5,"中期确认信号","高风险")))</f>
        <v/>
      </c>
      <c r="L17" s="5" t="str">
        <f aca="false">IF(J17="","",IF(AND(E17=2,F17=2,OR(I17=2,G17=2)),"是","否"))</f>
        <v/>
      </c>
      <c r="M17" s="8"/>
      <c r="N17" s="8"/>
      <c r="O17" s="8"/>
      <c r="P17" s="8"/>
      <c r="Q17" s="8"/>
      <c r="R17" s="5" t="str">
        <f aca="false">IF(COUNT(M17:Q17)&lt;5,"",SUM(M17:Q17))</f>
        <v/>
      </c>
      <c r="S17" s="5" t="str">
        <f aca="false">IF(R17="","",IF(R17&lt;=2,"早期信号",IF(R17&lt;=5,"中期确认信号","高风险")))</f>
        <v/>
      </c>
      <c r="T17" s="5" t="str">
        <f aca="false">IF(R17="","",IF(AND(M17=2,N17=2,OR(Q17=2,O17=2)),"是","否"))</f>
        <v/>
      </c>
      <c r="U17" s="5" t="str">
        <f aca="false">IF(OR(J17="",R17=""),"","v2-M:"&amp;IF(J17&gt;=3,"是","否")&amp;" / v3-R1:"&amp;IF(R17&gt;=3,"是","否"))</f>
        <v/>
      </c>
      <c r="V17" s="9" t="s">
        <v>48</v>
      </c>
      <c r="W17" s="5"/>
      <c r="X17" s="9"/>
      <c r="Y17" s="11" t="s">
        <v>49</v>
      </c>
      <c r="Z17" s="9"/>
    </row>
  </sheetData>
  <mergeCells count="1"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10"/>
    <col collapsed="false" customWidth="true" hidden="false" outlineLevel="0" max="33" min="33" style="0" width="30"/>
    <col collapsed="false" customWidth="true" hidden="false" outlineLevel="0" max="50" min="34" style="0" width="1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9.75" hidden="false" customHeight="true" outlineLevel="0" collapsed="false">
      <c r="A4" s="3" t="s">
        <v>2</v>
      </c>
      <c r="B4" s="3" t="s">
        <v>3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3" t="s">
        <v>74</v>
      </c>
      <c r="Z4" s="4" t="s">
        <v>75</v>
      </c>
      <c r="AA4" s="4" t="s">
        <v>76</v>
      </c>
      <c r="AB4" s="4" t="s">
        <v>77</v>
      </c>
      <c r="AC4" s="4" t="s">
        <v>78</v>
      </c>
      <c r="AD4" s="4" t="s">
        <v>79</v>
      </c>
      <c r="AE4" s="4" t="s">
        <v>80</v>
      </c>
      <c r="AF4" s="4" t="s">
        <v>81</v>
      </c>
      <c r="AG4" s="3" t="s">
        <v>82</v>
      </c>
      <c r="AH4" s="12" t="s">
        <v>83</v>
      </c>
      <c r="AI4" s="12" t="s">
        <v>84</v>
      </c>
      <c r="AJ4" s="12" t="s">
        <v>85</v>
      </c>
      <c r="AK4" s="12" t="s">
        <v>86</v>
      </c>
      <c r="AL4" s="12" t="s">
        <v>87</v>
      </c>
      <c r="AM4" s="12" t="s">
        <v>88</v>
      </c>
      <c r="AN4" s="12" t="s">
        <v>89</v>
      </c>
      <c r="AO4" s="12" t="s">
        <v>90</v>
      </c>
      <c r="AP4" s="12" t="s">
        <v>91</v>
      </c>
      <c r="AQ4" s="12" t="s">
        <v>92</v>
      </c>
      <c r="AR4" s="12" t="s">
        <v>93</v>
      </c>
      <c r="AS4" s="12" t="s">
        <v>94</v>
      </c>
      <c r="AT4" s="12" t="s">
        <v>95</v>
      </c>
      <c r="AU4" s="12" t="s">
        <v>96</v>
      </c>
      <c r="AV4" s="12" t="s">
        <v>97</v>
      </c>
      <c r="AW4" s="12" t="s">
        <v>98</v>
      </c>
      <c r="AX4" s="12" t="s">
        <v>99</v>
      </c>
    </row>
    <row r="5" customFormat="false" ht="15" hidden="false" customHeight="false" outlineLevel="0" collapsed="false">
      <c r="A5" s="5" t="n">
        <v>1</v>
      </c>
      <c r="B5" s="6" t="n">
        <v>45898</v>
      </c>
      <c r="C5" s="13" t="n">
        <v>645.05</v>
      </c>
      <c r="D5" s="13" t="n">
        <v>645.65</v>
      </c>
      <c r="E5" s="13" t="n">
        <v>640.18</v>
      </c>
      <c r="F5" s="13" t="n">
        <v>629.7</v>
      </c>
      <c r="G5" s="13" t="n">
        <v>594.32</v>
      </c>
      <c r="H5" s="13" t="n">
        <v>570.4</v>
      </c>
      <c r="I5" s="13" t="n">
        <v>572.78</v>
      </c>
      <c r="J5" s="13" t="n">
        <v>571.87</v>
      </c>
      <c r="K5" s="13" t="n">
        <v>561.66</v>
      </c>
      <c r="L5" s="13" t="n">
        <v>518.49</v>
      </c>
      <c r="M5" s="13" t="n">
        <v>188.62</v>
      </c>
      <c r="N5" s="13" t="n">
        <v>188.49</v>
      </c>
      <c r="O5" s="13" t="n">
        <v>185.99</v>
      </c>
      <c r="P5" s="13" t="n">
        <v>184.54</v>
      </c>
      <c r="Q5" s="13" t="n">
        <v>178.55</v>
      </c>
      <c r="R5" s="14" t="n">
        <v>0.6322</v>
      </c>
      <c r="S5" s="14" t="n">
        <v>0.6759</v>
      </c>
      <c r="T5" s="14"/>
      <c r="U5" s="14"/>
      <c r="V5" s="13" t="n">
        <v>15.36</v>
      </c>
      <c r="W5" s="13" t="n">
        <v>14.22</v>
      </c>
      <c r="X5" s="14" t="n">
        <v>0.0423</v>
      </c>
      <c r="Y5" s="14" t="n">
        <v>0.0434</v>
      </c>
      <c r="Z5" s="15" t="n">
        <v>45887</v>
      </c>
      <c r="AA5" s="14" t="n">
        <v>0.0423</v>
      </c>
      <c r="AB5" s="15" t="n">
        <v>45897</v>
      </c>
      <c r="AC5" s="14" t="n">
        <v>0.0275</v>
      </c>
      <c r="AD5" s="15" t="n">
        <v>45890</v>
      </c>
      <c r="AE5" s="14" t="n">
        <v>0.0295</v>
      </c>
      <c r="AF5" s="16"/>
      <c r="AG5" s="17" t="s">
        <v>100</v>
      </c>
      <c r="AH5" s="18" t="n">
        <f aca="false">IF(OR(C5="",E5=""),"",C5-E5)</f>
        <v>4.87</v>
      </c>
      <c r="AI5" s="18" t="n">
        <f aca="false">IF(OR(C5="",F5=""),"",C5-F5)</f>
        <v>15.3499999999999</v>
      </c>
      <c r="AJ5" s="18" t="n">
        <f aca="false">IF(OR(D5="",F5=""),"",D5-F5)</f>
        <v>15.9499999999999</v>
      </c>
      <c r="AK5" s="18" t="n">
        <f aca="false">IF(OR(C5="",G5=""),"",C5-G5)</f>
        <v>50.7299999999999</v>
      </c>
      <c r="AL5" s="18" t="n">
        <f aca="false">IF(OR(H5="",J5=""),"",H5-J5)</f>
        <v>-1.47000000000003</v>
      </c>
      <c r="AM5" s="18" t="n">
        <f aca="false">IF(OR(H5="",K5=""),"",H5-K5)</f>
        <v>8.74000000000001</v>
      </c>
      <c r="AN5" s="18" t="n">
        <f aca="false">IF(OR(I5="",K5=""),"",I5-K5)</f>
        <v>11.12</v>
      </c>
      <c r="AO5" s="18" t="n">
        <f aca="false">IF(OR(M5="",O5=""),"",M5-O5)</f>
        <v>2.63</v>
      </c>
      <c r="AP5" s="18" t="n">
        <f aca="false">IF(OR(M5="",P5=""),"",M5-P5)</f>
        <v>4.08000000000001</v>
      </c>
      <c r="AQ5" s="18" t="n">
        <f aca="false">IF(OR(N5="",P5=""),"",N5-P5)</f>
        <v>3.95000000000002</v>
      </c>
      <c r="AR5" s="19" t="n">
        <f aca="false">IF(OR(R5="",S5=""),"",MIN(R5,S5))</f>
        <v>0.6322</v>
      </c>
      <c r="AS5" s="18" t="str">
        <f aca="false">IF(OR(R5="",T5=""),"",(R5-T5)*100)</f>
        <v/>
      </c>
      <c r="AT5" s="18" t="str">
        <f aca="false">IF(OR(S5="",U5=""),"",(S5-U5)*100)</f>
        <v/>
      </c>
      <c r="AU5" s="19" t="n">
        <f aca="false">IF(OR(V5="",W5=""),"",V5/W5-1)</f>
        <v>0.0801687763713079</v>
      </c>
      <c r="AV5" s="20" t="n">
        <f aca="false">IF(OR(X5="",Y5=""),"",ROUND((X5-Y5)*10000,0))</f>
        <v>-11</v>
      </c>
      <c r="AW5" s="20" t="n">
        <f aca="false">IF(OR(X5="",AA5=""),"",ROUND((X5-AA5)*10000,0))</f>
        <v>0</v>
      </c>
      <c r="AX5" s="20" t="n">
        <f aca="false">IF(OR(AC5="",AE5=""),"",ROUND((AC5-AE5)*10000,0))</f>
        <v>-20</v>
      </c>
    </row>
    <row r="6" customFormat="false" ht="29.85" hidden="false" customHeight="false" outlineLevel="0" collapsed="false">
      <c r="A6" s="5" t="n">
        <v>2</v>
      </c>
      <c r="B6" s="6" t="n">
        <v>45926</v>
      </c>
      <c r="C6" s="13" t="n">
        <v>661.82</v>
      </c>
      <c r="D6" s="13" t="n">
        <v>662.2</v>
      </c>
      <c r="E6" s="13" t="n">
        <v>655.44</v>
      </c>
      <c r="F6" s="13" t="n">
        <v>644.38</v>
      </c>
      <c r="G6" s="13" t="n">
        <v>599.84</v>
      </c>
      <c r="H6" s="13" t="n">
        <v>595.97</v>
      </c>
      <c r="I6" s="13" t="n">
        <v>597.2</v>
      </c>
      <c r="J6" s="13" t="n">
        <v>586.09</v>
      </c>
      <c r="K6" s="13" t="n">
        <v>575.86</v>
      </c>
      <c r="L6" s="13" t="n">
        <v>525.77</v>
      </c>
      <c r="M6" s="13" t="n">
        <v>188.57</v>
      </c>
      <c r="N6" s="13" t="n">
        <v>188.15</v>
      </c>
      <c r="O6" s="13" t="n">
        <v>188.33</v>
      </c>
      <c r="P6" s="13" t="n">
        <v>186.74</v>
      </c>
      <c r="Q6" s="13" t="n">
        <v>178.9</v>
      </c>
      <c r="R6" s="14" t="n">
        <v>0.5467</v>
      </c>
      <c r="S6" s="14" t="n">
        <v>0.5109</v>
      </c>
      <c r="T6" s="14"/>
      <c r="U6" s="14"/>
      <c r="V6" s="13" t="n">
        <v>15.29</v>
      </c>
      <c r="W6" s="13" t="n">
        <v>15.45</v>
      </c>
      <c r="X6" s="14" t="n">
        <v>0.042</v>
      </c>
      <c r="Y6" s="14" t="n">
        <v>0.0428</v>
      </c>
      <c r="Z6" s="15" t="n">
        <v>45902</v>
      </c>
      <c r="AA6" s="14" t="n">
        <v>0.0422</v>
      </c>
      <c r="AB6" s="15" t="n">
        <v>45925</v>
      </c>
      <c r="AC6" s="14" t="n">
        <v>0.0276</v>
      </c>
      <c r="AD6" s="15" t="n">
        <v>45918</v>
      </c>
      <c r="AE6" s="14" t="n">
        <v>0.0271</v>
      </c>
      <c r="AF6" s="16"/>
      <c r="AG6" s="21" t="s">
        <v>101</v>
      </c>
      <c r="AH6" s="18" t="n">
        <f aca="false">IF(OR(C6="",E6=""),"",C6-E6)</f>
        <v>6.38</v>
      </c>
      <c r="AI6" s="18" t="n">
        <f aca="false">IF(OR(C6="",F6=""),"",C6-F6)</f>
        <v>17.4400000000001</v>
      </c>
      <c r="AJ6" s="18" t="n">
        <f aca="false">IF(OR(D6="",F6=""),"",D6-F6)</f>
        <v>17.8200000000001</v>
      </c>
      <c r="AK6" s="18" t="n">
        <f aca="false">IF(OR(C6="",G6=""),"",C6-G6)</f>
        <v>61.98</v>
      </c>
      <c r="AL6" s="18" t="n">
        <f aca="false">IF(OR(H6="",J6=""),"",H6-J6)</f>
        <v>9.88</v>
      </c>
      <c r="AM6" s="18" t="n">
        <f aca="false">IF(OR(H6="",K6=""),"",H6-K6)</f>
        <v>20.11</v>
      </c>
      <c r="AN6" s="18" t="n">
        <f aca="false">IF(OR(I6="",K6=""),"",I6-K6)</f>
        <v>21.34</v>
      </c>
      <c r="AO6" s="18" t="n">
        <f aca="false">IF(OR(M6="",O6=""),"",M6-O6)</f>
        <v>0.239999999999981</v>
      </c>
      <c r="AP6" s="18" t="n">
        <f aca="false">IF(OR(M6="",P6=""),"",M6-P6)</f>
        <v>1.82999999999998</v>
      </c>
      <c r="AQ6" s="18" t="n">
        <f aca="false">IF(OR(N6="",P6=""),"",N6-P6)</f>
        <v>1.41</v>
      </c>
      <c r="AR6" s="19" t="n">
        <f aca="false">IF(OR(R6="",S6=""),"",MIN(R6,S6))</f>
        <v>0.5109</v>
      </c>
      <c r="AS6" s="18" t="str">
        <f aca="false">IF(OR(R6="",T6=""),"",(R6-T6)*100)</f>
        <v/>
      </c>
      <c r="AT6" s="18" t="str">
        <f aca="false">IF(OR(S6="",U6=""),"",(S6-U6)*100)</f>
        <v/>
      </c>
      <c r="AU6" s="19" t="n">
        <f aca="false">IF(OR(V6="",W6=""),"",V6/W6-1)</f>
        <v>-0.0103559870550162</v>
      </c>
      <c r="AV6" s="20" t="n">
        <f aca="false">IF(OR(X6="",Y6=""),"",ROUND((X6-Y6)*10000,0))</f>
        <v>-8</v>
      </c>
      <c r="AW6" s="20" t="n">
        <f aca="false">IF(OR(X6="",AA6=""),"",ROUND((X6-AA6)*10000,0))</f>
        <v>-2</v>
      </c>
      <c r="AX6" s="20" t="n">
        <f aca="false">IF(OR(AC6="",AE6=""),"",ROUND((AC6-AE6)*10000,0))</f>
        <v>5</v>
      </c>
    </row>
    <row r="7" customFormat="false" ht="15" hidden="false" customHeight="false" outlineLevel="0" collapsed="false">
      <c r="A7" s="5" t="n">
        <v>3</v>
      </c>
      <c r="B7" s="6" t="n">
        <v>45961</v>
      </c>
      <c r="C7" s="13" t="n">
        <v>682.06</v>
      </c>
      <c r="D7" s="13" t="n">
        <v>684.32</v>
      </c>
      <c r="E7" s="13" t="n">
        <v>671.72</v>
      </c>
      <c r="F7" s="13" t="n">
        <v>662.17</v>
      </c>
      <c r="G7" s="13" t="n">
        <v>609.44</v>
      </c>
      <c r="H7" s="13" t="n">
        <v>629.07</v>
      </c>
      <c r="I7" s="13" t="n">
        <v>630.38</v>
      </c>
      <c r="J7" s="13" t="n">
        <v>611.9</v>
      </c>
      <c r="K7" s="13" t="n">
        <v>596.73</v>
      </c>
      <c r="L7" s="13" t="n">
        <v>537</v>
      </c>
      <c r="M7" s="13" t="n">
        <v>187.93</v>
      </c>
      <c r="N7" s="13" t="n">
        <v>189.27</v>
      </c>
      <c r="O7" s="13" t="n">
        <v>189.26</v>
      </c>
      <c r="P7" s="13" t="n">
        <v>188.92</v>
      </c>
      <c r="Q7" s="13" t="n">
        <v>180.37</v>
      </c>
      <c r="R7" s="14" t="n">
        <v>0.4015</v>
      </c>
      <c r="S7" s="14" t="n">
        <v>0.3856</v>
      </c>
      <c r="T7" s="14" t="n">
        <v>0.5288</v>
      </c>
      <c r="U7" s="14" t="n">
        <v>0.5765</v>
      </c>
      <c r="V7" s="13" t="n">
        <v>17.44</v>
      </c>
      <c r="W7" s="13" t="n">
        <v>16.37</v>
      </c>
      <c r="X7" s="14" t="n">
        <v>0.0411</v>
      </c>
      <c r="Y7" s="14" t="n">
        <v>0.0418</v>
      </c>
      <c r="Z7" s="15" t="n">
        <v>45936</v>
      </c>
      <c r="AA7" s="14" t="n">
        <v>0.0413</v>
      </c>
      <c r="AB7" s="15" t="n">
        <v>45960</v>
      </c>
      <c r="AC7" s="14" t="n">
        <v>0.0285</v>
      </c>
      <c r="AD7" s="15" t="n">
        <v>45953</v>
      </c>
      <c r="AE7" s="14" t="n">
        <v>0.0296</v>
      </c>
      <c r="AF7" s="16" t="n">
        <v>0.7264</v>
      </c>
      <c r="AG7" s="17" t="s">
        <v>102</v>
      </c>
      <c r="AH7" s="18" t="n">
        <f aca="false">IF(OR(C7="",E7=""),"",C7-E7)</f>
        <v>10.3399999999999</v>
      </c>
      <c r="AI7" s="18" t="n">
        <f aca="false">IF(OR(C7="",F7=""),"",C7-F7)</f>
        <v>19.89</v>
      </c>
      <c r="AJ7" s="18" t="n">
        <f aca="false">IF(OR(D7="",F7=""),"",D7-F7)</f>
        <v>22.1500000000001</v>
      </c>
      <c r="AK7" s="18" t="n">
        <f aca="false">IF(OR(C7="",G7=""),"",C7-G7)</f>
        <v>72.6199999999999</v>
      </c>
      <c r="AL7" s="18" t="n">
        <f aca="false">IF(OR(H7="",J7=""),"",H7-J7)</f>
        <v>17.1700000000001</v>
      </c>
      <c r="AM7" s="18" t="n">
        <f aca="false">IF(OR(H7="",K7=""),"",H7-K7)</f>
        <v>32.34</v>
      </c>
      <c r="AN7" s="18" t="n">
        <f aca="false">IF(OR(I7="",K7=""),"",I7-K7)</f>
        <v>33.65</v>
      </c>
      <c r="AO7" s="18" t="n">
        <f aca="false">IF(OR(M7="",O7=""),"",M7-O7)</f>
        <v>-1.32999999999998</v>
      </c>
      <c r="AP7" s="18" t="n">
        <f aca="false">IF(OR(M7="",P7=""),"",M7-P7)</f>
        <v>-0.989999999999981</v>
      </c>
      <c r="AQ7" s="18" t="n">
        <f aca="false">IF(OR(N7="",P7=""),"",N7-P7)</f>
        <v>0.350000000000023</v>
      </c>
      <c r="AR7" s="19" t="n">
        <f aca="false">IF(OR(R7="",S7=""),"",MIN(R7,S7))</f>
        <v>0.3856</v>
      </c>
      <c r="AS7" s="18" t="n">
        <f aca="false">IF(OR(R7="",T7=""),"",(R7-T7)*100)</f>
        <v>-12.73</v>
      </c>
      <c r="AT7" s="18" t="n">
        <f aca="false">IF(OR(S7="",U7=""),"",(S7-U7)*100)</f>
        <v>-19.09</v>
      </c>
      <c r="AU7" s="19" t="n">
        <f aca="false">IF(OR(V7="",W7=""),"",V7/W7-1)</f>
        <v>0.0653634697617593</v>
      </c>
      <c r="AV7" s="20" t="n">
        <f aca="false">IF(OR(X7="",Y7=""),"",ROUND((X7-Y7)*10000,0))</f>
        <v>-7</v>
      </c>
      <c r="AW7" s="20" t="n">
        <f aca="false">IF(OR(X7="",AA7=""),"",ROUND((X7-AA7)*10000,0))</f>
        <v>-2</v>
      </c>
      <c r="AX7" s="20" t="n">
        <f aca="false">IF(OR(AC7="",AE7=""),"",ROUND((AC7-AE7)*10000,0))</f>
        <v>-11</v>
      </c>
    </row>
    <row r="8" customFormat="false" ht="44" hidden="false" customHeight="false" outlineLevel="0" collapsed="false">
      <c r="A8" s="5" t="n">
        <v>4</v>
      </c>
      <c r="B8" s="6" t="n">
        <v>45989</v>
      </c>
      <c r="C8" s="13" t="n">
        <v>683.39</v>
      </c>
      <c r="D8" s="13" t="n">
        <v>673.17</v>
      </c>
      <c r="E8" s="13" t="n">
        <v>672.9</v>
      </c>
      <c r="F8" s="13" t="n">
        <v>670.44</v>
      </c>
      <c r="G8" s="13" t="n">
        <v>616.06</v>
      </c>
      <c r="H8" s="13" t="n">
        <v>619.25</v>
      </c>
      <c r="I8" s="13" t="n">
        <v>607.53</v>
      </c>
      <c r="J8" s="13" t="n">
        <v>611.57</v>
      </c>
      <c r="K8" s="13" t="n">
        <v>608.74</v>
      </c>
      <c r="L8" s="13" t="n">
        <v>545.19</v>
      </c>
      <c r="M8" s="13" t="n">
        <v>191.53</v>
      </c>
      <c r="N8" s="13" t="n">
        <v>188.7</v>
      </c>
      <c r="O8" s="13" t="n">
        <v>187.32</v>
      </c>
      <c r="P8" s="13" t="n">
        <v>188.49</v>
      </c>
      <c r="Q8" s="13" t="n">
        <v>180.96</v>
      </c>
      <c r="R8" s="14" t="n">
        <v>0.5844</v>
      </c>
      <c r="S8" s="14" t="n">
        <v>0.7673</v>
      </c>
      <c r="T8" s="14"/>
      <c r="U8" s="14"/>
      <c r="V8" s="13" t="n">
        <v>16.35</v>
      </c>
      <c r="W8" s="13" t="n">
        <v>26.42</v>
      </c>
      <c r="X8" s="14" t="n">
        <v>0.0402</v>
      </c>
      <c r="Y8" s="14" t="n">
        <v>0.0417</v>
      </c>
      <c r="Z8" s="15" t="n">
        <v>45966</v>
      </c>
      <c r="AA8" s="14" t="n">
        <v>0.0411</v>
      </c>
      <c r="AB8" s="15" t="n">
        <v>45987</v>
      </c>
      <c r="AC8" s="14" t="n">
        <v>0.03</v>
      </c>
      <c r="AD8" s="15" t="n">
        <v>45980</v>
      </c>
      <c r="AE8" s="14" t="n">
        <v>0.0317</v>
      </c>
      <c r="AF8" s="16" t="n">
        <v>0.724</v>
      </c>
      <c r="AG8" s="17" t="s">
        <v>103</v>
      </c>
      <c r="AH8" s="18" t="n">
        <f aca="false">IF(OR(C8="",E8=""),"",C8-E8)</f>
        <v>10.49</v>
      </c>
      <c r="AI8" s="18" t="n">
        <f aca="false">IF(OR(C8="",F8=""),"",C8-F8)</f>
        <v>12.9499999999999</v>
      </c>
      <c r="AJ8" s="18" t="n">
        <f aca="false">IF(OR(D8="",F8=""),"",D8-F8)</f>
        <v>2.7299999999999</v>
      </c>
      <c r="AK8" s="18" t="n">
        <f aca="false">IF(OR(C8="",G8=""),"",C8-G8)</f>
        <v>67.33</v>
      </c>
      <c r="AL8" s="18" t="n">
        <f aca="false">IF(OR(H8="",J8=""),"",H8-J8)</f>
        <v>7.67999999999995</v>
      </c>
      <c r="AM8" s="18" t="n">
        <f aca="false">IF(OR(H8="",K8=""),"",H8-K8)</f>
        <v>10.51</v>
      </c>
      <c r="AN8" s="18" t="n">
        <f aca="false">IF(OR(I8="",K8=""),"",I8-K8)</f>
        <v>-1.21000000000004</v>
      </c>
      <c r="AO8" s="18" t="n">
        <f aca="false">IF(OR(M8="",O8=""),"",M8-O8)</f>
        <v>4.21000000000001</v>
      </c>
      <c r="AP8" s="18" t="n">
        <f aca="false">IF(OR(M8="",P8=""),"",M8-P8)</f>
        <v>3.03999999999999</v>
      </c>
      <c r="AQ8" s="18" t="n">
        <f aca="false">IF(OR(N8="",P8=""),"",N8-P8)</f>
        <v>0.20999999999998</v>
      </c>
      <c r="AR8" s="19" t="n">
        <f aca="false">IF(OR(R8="",S8=""),"",MIN(R8,S8))</f>
        <v>0.5844</v>
      </c>
      <c r="AS8" s="18" t="str">
        <f aca="false">IF(OR(R8="",T8=""),"",(R8-T8)*100)</f>
        <v/>
      </c>
      <c r="AT8" s="18" t="str">
        <f aca="false">IF(OR(S8="",U8=""),"",(S8-U8)*100)</f>
        <v/>
      </c>
      <c r="AU8" s="19" t="n">
        <f aca="false">IF(OR(V8="",W8=""),"",V8/W8-1)</f>
        <v>-0.38115064345193</v>
      </c>
      <c r="AV8" s="20" t="n">
        <f aca="false">IF(OR(X8="",Y8=""),"",ROUND((X8-Y8)*10000,0))</f>
        <v>-15</v>
      </c>
      <c r="AW8" s="20" t="n">
        <f aca="false">IF(OR(X8="",AA8=""),"",ROUND((X8-AA8)*10000,0))</f>
        <v>-9</v>
      </c>
      <c r="AX8" s="20" t="n">
        <f aca="false">IF(OR(AC8="",AE8=""),"",ROUND((AC8-AE8)*10000,0))</f>
        <v>-17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7" min="2" style="0" width="11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50"/>
  </cols>
  <sheetData>
    <row r="1" customFormat="false" ht="21.6" hidden="false" customHeight="false" outlineLevel="0" collapsed="false">
      <c r="A1" s="1" t="s">
        <v>104</v>
      </c>
    </row>
    <row r="3" customFormat="false" ht="31.5" hidden="false" customHeight="true" outlineLevel="0" collapsed="false">
      <c r="A3" s="3" t="s">
        <v>2</v>
      </c>
      <c r="B3" s="3" t="s">
        <v>3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111</v>
      </c>
      <c r="J3" s="4" t="s">
        <v>112</v>
      </c>
      <c r="K3" s="3" t="s">
        <v>113</v>
      </c>
      <c r="L3" s="3" t="s">
        <v>23</v>
      </c>
      <c r="M3" s="3" t="s">
        <v>114</v>
      </c>
    </row>
    <row r="4" customFormat="false" ht="26.85" hidden="false" customHeight="false" outlineLevel="0" collapsed="false">
      <c r="A4" s="5" t="n">
        <v>1</v>
      </c>
      <c r="B4" s="6" t="n">
        <v>45898</v>
      </c>
      <c r="C4" s="6" t="n">
        <v>45891</v>
      </c>
      <c r="D4" s="6" t="n">
        <v>45870</v>
      </c>
      <c r="E4" s="6" t="n">
        <v>45873</v>
      </c>
      <c r="F4" s="6" t="n">
        <v>45898</v>
      </c>
      <c r="G4" s="6" t="n">
        <v>45897</v>
      </c>
      <c r="H4" s="6" t="n">
        <v>45890</v>
      </c>
      <c r="I4" s="6" t="n">
        <v>45890</v>
      </c>
      <c r="J4" s="9" t="s">
        <v>115</v>
      </c>
      <c r="K4" s="22" t="n">
        <v>45834</v>
      </c>
      <c r="L4" s="9" t="s">
        <v>30</v>
      </c>
      <c r="M4" s="11" t="s">
        <v>116</v>
      </c>
    </row>
    <row r="5" customFormat="false" ht="26.85" hidden="false" customHeight="false" outlineLevel="0" collapsed="false">
      <c r="A5" s="5" t="n">
        <v>2</v>
      </c>
      <c r="B5" s="6" t="n">
        <v>45926</v>
      </c>
      <c r="C5" s="6" t="n">
        <v>45919</v>
      </c>
      <c r="D5" s="6" t="n">
        <v>45897</v>
      </c>
      <c r="E5" s="6" t="n">
        <v>45898</v>
      </c>
      <c r="F5" s="6" t="n">
        <v>45926</v>
      </c>
      <c r="G5" s="6" t="n">
        <v>45925</v>
      </c>
      <c r="H5" s="6" t="n">
        <v>45918</v>
      </c>
      <c r="I5" s="6" t="n">
        <v>45918</v>
      </c>
      <c r="J5" s="9" t="s">
        <v>117</v>
      </c>
      <c r="K5" s="22" t="n">
        <v>45862</v>
      </c>
      <c r="L5" s="9" t="s">
        <v>34</v>
      </c>
      <c r="M5" s="9" t="s">
        <v>118</v>
      </c>
    </row>
    <row r="6" customFormat="false" ht="26.85" hidden="false" customHeight="false" outlineLevel="0" collapsed="false">
      <c r="A6" s="5" t="n">
        <v>3</v>
      </c>
      <c r="B6" s="6" t="n">
        <v>45961</v>
      </c>
      <c r="C6" s="6" t="n">
        <v>45954</v>
      </c>
      <c r="D6" s="6" t="n">
        <v>45933</v>
      </c>
      <c r="E6" s="6" t="n">
        <v>45936</v>
      </c>
      <c r="F6" s="6" t="n">
        <v>45961</v>
      </c>
      <c r="G6" s="6" t="n">
        <v>45960</v>
      </c>
      <c r="H6" s="6" t="n">
        <v>45953</v>
      </c>
      <c r="I6" s="6" t="n">
        <v>45953</v>
      </c>
      <c r="J6" s="9" t="s">
        <v>119</v>
      </c>
      <c r="K6" s="22" t="n">
        <v>45897</v>
      </c>
      <c r="L6" s="9" t="s">
        <v>37</v>
      </c>
      <c r="M6" s="9" t="s">
        <v>120</v>
      </c>
    </row>
    <row r="7" customFormat="false" ht="44" hidden="false" customHeight="false" outlineLevel="0" collapsed="false">
      <c r="A7" s="5" t="n">
        <v>4</v>
      </c>
      <c r="B7" s="6" t="n">
        <v>45989</v>
      </c>
      <c r="C7" s="6" t="n">
        <v>45981</v>
      </c>
      <c r="D7" s="6" t="n">
        <v>45960</v>
      </c>
      <c r="E7" s="6" t="n">
        <v>45961</v>
      </c>
      <c r="F7" s="6" t="n">
        <v>45989</v>
      </c>
      <c r="G7" s="6" t="n">
        <v>45987</v>
      </c>
      <c r="H7" s="6" t="n">
        <v>45980</v>
      </c>
      <c r="I7" s="6" t="n">
        <v>45980</v>
      </c>
      <c r="J7" s="9" t="s">
        <v>121</v>
      </c>
      <c r="K7" s="22" t="n">
        <v>45925</v>
      </c>
      <c r="L7" s="9" t="s">
        <v>41</v>
      </c>
      <c r="M7" s="9" t="s">
        <v>122</v>
      </c>
    </row>
    <row r="9" customFormat="false" ht="14.15" hidden="false" customHeight="false" outlineLevel="0" collapsed="false">
      <c r="A9" s="2" t="s">
        <v>123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1">
    <mergeCell ref="A9:M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8"/>
  </cols>
  <sheetData>
    <row r="1" customFormat="false" ht="21.6" hidden="false" customHeight="false" outlineLevel="0" collapsed="false">
      <c r="A1" s="1" t="s">
        <v>124</v>
      </c>
    </row>
    <row r="3" customFormat="false" ht="15" hidden="false" customHeight="false" outlineLevel="0" collapsed="false">
      <c r="A3" s="4" t="s">
        <v>125</v>
      </c>
      <c r="B3" s="3" t="s">
        <v>126</v>
      </c>
      <c r="C3" s="3" t="s">
        <v>127</v>
      </c>
      <c r="D3" s="3" t="s">
        <v>128</v>
      </c>
      <c r="E3" s="3" t="s">
        <v>129</v>
      </c>
      <c r="F3" s="3" t="s">
        <v>130</v>
      </c>
      <c r="G3" s="3" t="s">
        <v>29</v>
      </c>
    </row>
    <row r="4" customFormat="false" ht="26.85" hidden="false" customHeight="false" outlineLevel="0" collapsed="false">
      <c r="A4" s="5" t="n">
        <v>1</v>
      </c>
      <c r="B4" s="9" t="s">
        <v>131</v>
      </c>
      <c r="C4" s="9" t="s">
        <v>132</v>
      </c>
      <c r="D4" s="9" t="s">
        <v>133</v>
      </c>
      <c r="E4" s="11" t="s">
        <v>134</v>
      </c>
      <c r="F4" s="11" t="s">
        <v>135</v>
      </c>
      <c r="G4" s="10"/>
    </row>
    <row r="5" customFormat="false" ht="26.85" hidden="false" customHeight="false" outlineLevel="0" collapsed="false">
      <c r="A5" s="5" t="n">
        <v>2</v>
      </c>
      <c r="B5" s="9" t="s">
        <v>136</v>
      </c>
      <c r="C5" s="9" t="s">
        <v>132</v>
      </c>
      <c r="D5" s="9" t="s">
        <v>133</v>
      </c>
      <c r="E5" s="11" t="s">
        <v>134</v>
      </c>
      <c r="F5" s="11" t="s">
        <v>137</v>
      </c>
      <c r="G5" s="10"/>
    </row>
    <row r="6" customFormat="false" ht="26.85" hidden="false" customHeight="false" outlineLevel="0" collapsed="false">
      <c r="A6" s="5" t="n">
        <v>3</v>
      </c>
      <c r="B6" s="9" t="s">
        <v>138</v>
      </c>
      <c r="C6" s="9" t="s">
        <v>132</v>
      </c>
      <c r="D6" s="9" t="s">
        <v>133</v>
      </c>
      <c r="E6" s="11" t="s">
        <v>134</v>
      </c>
      <c r="F6" s="11" t="s">
        <v>137</v>
      </c>
      <c r="G6" s="10"/>
    </row>
    <row r="7" customFormat="false" ht="15" hidden="false" customHeight="false" outlineLevel="0" collapsed="false">
      <c r="A7" s="5" t="n">
        <v>4</v>
      </c>
      <c r="B7" s="9" t="s">
        <v>139</v>
      </c>
      <c r="C7" s="9" t="s">
        <v>132</v>
      </c>
      <c r="D7" s="9" t="s">
        <v>140</v>
      </c>
      <c r="E7" s="11" t="s">
        <v>141</v>
      </c>
      <c r="F7" s="11" t="s">
        <v>142</v>
      </c>
      <c r="G7" s="10"/>
    </row>
    <row r="8" customFormat="false" ht="15" hidden="false" customHeight="false" outlineLevel="0" collapsed="false">
      <c r="A8" s="5" t="n">
        <v>5</v>
      </c>
      <c r="B8" s="9" t="s">
        <v>143</v>
      </c>
      <c r="C8" s="9" t="s">
        <v>132</v>
      </c>
      <c r="D8" s="9" t="s">
        <v>140</v>
      </c>
      <c r="E8" s="11" t="s">
        <v>141</v>
      </c>
      <c r="F8" s="11" t="s">
        <v>137</v>
      </c>
      <c r="G8" s="10"/>
    </row>
    <row r="9" customFormat="false" ht="15" hidden="false" customHeight="false" outlineLevel="0" collapsed="false">
      <c r="A9" s="5" t="n">
        <v>6</v>
      </c>
      <c r="B9" s="9" t="s">
        <v>144</v>
      </c>
      <c r="C9" s="9" t="s">
        <v>145</v>
      </c>
      <c r="D9" s="9" t="s">
        <v>146</v>
      </c>
      <c r="E9" s="11" t="s">
        <v>147</v>
      </c>
      <c r="F9" s="9" t="s">
        <v>148</v>
      </c>
      <c r="G9" s="10"/>
    </row>
    <row r="10" customFormat="false" ht="15" hidden="false" customHeight="false" outlineLevel="0" collapsed="false">
      <c r="A10" s="5" t="n">
        <v>7</v>
      </c>
      <c r="B10" s="9" t="s">
        <v>149</v>
      </c>
      <c r="C10" s="9" t="s">
        <v>145</v>
      </c>
      <c r="D10" s="9" t="s">
        <v>146</v>
      </c>
      <c r="E10" s="11" t="s">
        <v>147</v>
      </c>
      <c r="F10" s="11" t="s">
        <v>137</v>
      </c>
      <c r="G10" s="10"/>
    </row>
    <row r="11" customFormat="false" ht="29.85" hidden="false" customHeight="false" outlineLevel="0" collapsed="false">
      <c r="A11" s="5" t="n">
        <v>8</v>
      </c>
      <c r="B11" s="9" t="s">
        <v>150</v>
      </c>
      <c r="C11" s="9" t="s">
        <v>151</v>
      </c>
      <c r="D11" s="9" t="s">
        <v>146</v>
      </c>
      <c r="E11" s="9" t="s">
        <v>152</v>
      </c>
      <c r="F11" s="11" t="s">
        <v>153</v>
      </c>
      <c r="G11" s="10"/>
    </row>
    <row r="12" customFormat="false" ht="29.85" hidden="false" customHeight="false" outlineLevel="0" collapsed="false">
      <c r="A12" s="5" t="n">
        <v>9</v>
      </c>
      <c r="B12" s="9" t="s">
        <v>109</v>
      </c>
      <c r="C12" s="9" t="s">
        <v>154</v>
      </c>
      <c r="D12" s="9" t="s">
        <v>155</v>
      </c>
      <c r="E12" s="9" t="s">
        <v>152</v>
      </c>
      <c r="F12" s="11" t="s">
        <v>156</v>
      </c>
      <c r="G12" s="10"/>
    </row>
    <row r="13" customFormat="false" ht="29.85" hidden="false" customHeight="false" outlineLevel="0" collapsed="false">
      <c r="A13" s="5" t="n">
        <v>10</v>
      </c>
      <c r="B13" s="9" t="s">
        <v>157</v>
      </c>
      <c r="C13" s="9" t="s">
        <v>154</v>
      </c>
      <c r="D13" s="9" t="s">
        <v>158</v>
      </c>
      <c r="E13" s="9" t="s">
        <v>152</v>
      </c>
      <c r="F13" s="9" t="s">
        <v>159</v>
      </c>
      <c r="G13" s="10"/>
    </row>
    <row r="14" customFormat="false" ht="29.85" hidden="false" customHeight="false" outlineLevel="0" collapsed="false">
      <c r="A14" s="5" t="n">
        <v>11</v>
      </c>
      <c r="B14" s="9" t="s">
        <v>160</v>
      </c>
      <c r="C14" s="11" t="s">
        <v>161</v>
      </c>
      <c r="D14" s="9" t="s">
        <v>162</v>
      </c>
      <c r="E14" s="11" t="s">
        <v>163</v>
      </c>
      <c r="F14" s="9" t="s">
        <v>164</v>
      </c>
      <c r="G14" s="10"/>
    </row>
    <row r="15" customFormat="false" ht="15" hidden="false" customHeight="false" outlineLevel="0" collapsed="false">
      <c r="A15" s="5" t="n">
        <v>12</v>
      </c>
      <c r="B15" s="9" t="s">
        <v>165</v>
      </c>
      <c r="C15" s="9" t="s">
        <v>132</v>
      </c>
      <c r="D15" s="9" t="s">
        <v>133</v>
      </c>
      <c r="E15" s="11" t="s">
        <v>141</v>
      </c>
      <c r="F15" s="11" t="s">
        <v>166</v>
      </c>
      <c r="G15" s="10"/>
    </row>
    <row r="16" customFormat="false" ht="15" hidden="false" customHeight="false" outlineLevel="0" collapsed="false">
      <c r="A16" s="5" t="n">
        <v>13</v>
      </c>
      <c r="B16" s="9" t="s">
        <v>81</v>
      </c>
      <c r="C16" s="9" t="s">
        <v>145</v>
      </c>
      <c r="D16" s="9" t="s">
        <v>133</v>
      </c>
      <c r="E16" s="11" t="s">
        <v>141</v>
      </c>
      <c r="F16" s="11" t="s">
        <v>167</v>
      </c>
      <c r="G16" s="10"/>
    </row>
    <row r="17" customFormat="false" ht="29.85" hidden="false" customHeight="false" outlineLevel="0" collapsed="false">
      <c r="A17" s="5" t="n">
        <v>14</v>
      </c>
      <c r="B17" s="9" t="s">
        <v>168</v>
      </c>
      <c r="C17" s="11" t="s">
        <v>166</v>
      </c>
      <c r="D17" s="9" t="s">
        <v>169</v>
      </c>
      <c r="E17" s="11" t="s">
        <v>170</v>
      </c>
      <c r="F17" s="11" t="s">
        <v>171</v>
      </c>
      <c r="G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7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172</v>
      </c>
    </row>
    <row r="3" customFormat="false" ht="15" hidden="false" customHeight="false" outlineLevel="0" collapsed="false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</row>
    <row r="4" customFormat="false" ht="15" hidden="false" customHeight="false" outlineLevel="0" collapsed="false">
      <c r="A4" s="9" t="s">
        <v>178</v>
      </c>
      <c r="B4" s="11" t="s">
        <v>179</v>
      </c>
      <c r="C4" s="11" t="s">
        <v>180</v>
      </c>
      <c r="D4" s="11" t="s">
        <v>181</v>
      </c>
      <c r="E4" s="9" t="s">
        <v>182</v>
      </c>
    </row>
    <row r="5" customFormat="false" ht="15" hidden="false" customHeight="false" outlineLevel="0" collapsed="false">
      <c r="A5" s="9" t="s">
        <v>178</v>
      </c>
      <c r="B5" s="11" t="s">
        <v>179</v>
      </c>
      <c r="C5" s="11" t="s">
        <v>183</v>
      </c>
      <c r="D5" s="11" t="s">
        <v>184</v>
      </c>
      <c r="E5" s="11" t="s">
        <v>185</v>
      </c>
    </row>
    <row r="6" customFormat="false" ht="29.85" hidden="false" customHeight="false" outlineLevel="0" collapsed="false">
      <c r="A6" s="9" t="s">
        <v>178</v>
      </c>
      <c r="B6" s="11" t="s">
        <v>186</v>
      </c>
      <c r="C6" s="11" t="s">
        <v>187</v>
      </c>
      <c r="D6" s="9" t="s">
        <v>188</v>
      </c>
      <c r="E6" s="9" t="s">
        <v>189</v>
      </c>
    </row>
    <row r="7" customFormat="false" ht="29.85" hidden="false" customHeight="false" outlineLevel="0" collapsed="false">
      <c r="A7" s="9" t="s">
        <v>178</v>
      </c>
      <c r="B7" s="11" t="s">
        <v>186</v>
      </c>
      <c r="C7" s="11" t="s">
        <v>187</v>
      </c>
      <c r="D7" s="9" t="s">
        <v>190</v>
      </c>
      <c r="E7" s="9" t="s">
        <v>191</v>
      </c>
    </row>
    <row r="8" customFormat="false" ht="15" hidden="false" customHeight="false" outlineLevel="0" collapsed="false">
      <c r="A8" s="9" t="s">
        <v>178</v>
      </c>
      <c r="B8" s="11" t="s">
        <v>186</v>
      </c>
      <c r="C8" s="11" t="s">
        <v>187</v>
      </c>
      <c r="D8" s="9" t="s">
        <v>192</v>
      </c>
      <c r="E8" s="11" t="s">
        <v>193</v>
      </c>
    </row>
    <row r="9" customFormat="false" ht="29.85" hidden="false" customHeight="false" outlineLevel="0" collapsed="false">
      <c r="A9" s="9" t="s">
        <v>178</v>
      </c>
      <c r="B9" s="11" t="s">
        <v>186</v>
      </c>
      <c r="C9" s="11" t="s">
        <v>194</v>
      </c>
      <c r="D9" s="9" t="s">
        <v>195</v>
      </c>
      <c r="E9" s="11" t="s">
        <v>196</v>
      </c>
    </row>
    <row r="10" customFormat="false" ht="15" hidden="false" customHeight="false" outlineLevel="0" collapsed="false">
      <c r="A10" s="9" t="s">
        <v>178</v>
      </c>
      <c r="B10" s="11" t="s">
        <v>197</v>
      </c>
      <c r="C10" s="11" t="s">
        <v>198</v>
      </c>
      <c r="D10" s="9" t="s">
        <v>199</v>
      </c>
      <c r="E10" s="11" t="s">
        <v>200</v>
      </c>
    </row>
    <row r="11" customFormat="false" ht="15" hidden="false" customHeight="false" outlineLevel="0" collapsed="false">
      <c r="A11" s="9" t="s">
        <v>178</v>
      </c>
      <c r="B11" s="11" t="s">
        <v>201</v>
      </c>
      <c r="C11" s="11" t="s">
        <v>202</v>
      </c>
      <c r="D11" s="9" t="s">
        <v>203</v>
      </c>
      <c r="E11" s="9" t="s">
        <v>204</v>
      </c>
    </row>
    <row r="12" customFormat="false" ht="29.85" hidden="false" customHeight="false" outlineLevel="0" collapsed="false">
      <c r="A12" s="9" t="s">
        <v>178</v>
      </c>
      <c r="B12" s="11" t="s">
        <v>205</v>
      </c>
      <c r="C12" s="11" t="s">
        <v>206</v>
      </c>
      <c r="D12" s="9" t="s">
        <v>207</v>
      </c>
      <c r="E12" s="11" t="s">
        <v>208</v>
      </c>
    </row>
    <row r="13" customFormat="false" ht="15" hidden="false" customHeight="false" outlineLevel="0" collapsed="false">
      <c r="A13" s="9" t="s">
        <v>178</v>
      </c>
      <c r="B13" s="11" t="s">
        <v>205</v>
      </c>
      <c r="C13" s="11" t="s">
        <v>202</v>
      </c>
      <c r="D13" s="9" t="s">
        <v>209</v>
      </c>
      <c r="E13" s="11" t="s">
        <v>210</v>
      </c>
    </row>
    <row r="14" customFormat="false" ht="29.85" hidden="false" customHeight="false" outlineLevel="0" collapsed="false">
      <c r="A14" s="9" t="s">
        <v>178</v>
      </c>
      <c r="B14" s="11" t="s">
        <v>211</v>
      </c>
      <c r="C14" s="11" t="s">
        <v>212</v>
      </c>
      <c r="D14" s="11" t="s">
        <v>213</v>
      </c>
      <c r="E14" s="11" t="s">
        <v>214</v>
      </c>
    </row>
    <row r="15" customFormat="false" ht="29.85" hidden="false" customHeight="false" outlineLevel="0" collapsed="false">
      <c r="A15" s="9" t="s">
        <v>178</v>
      </c>
      <c r="B15" s="11" t="s">
        <v>179</v>
      </c>
      <c r="C15" s="11" t="s">
        <v>215</v>
      </c>
      <c r="D15" s="11" t="s">
        <v>216</v>
      </c>
      <c r="E15" s="11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2026-09-26T16:17:59Z</dcterms:created>
  <dc:creator>openpyxl</dc:creator>
  <dc:description/>
  <dc:language>en-US</dc:language>
  <cp:lastModifiedBy/>
  <dcterms:modified xsi:type="dcterms:W3CDTF">2026-09-26T16:18:00Z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